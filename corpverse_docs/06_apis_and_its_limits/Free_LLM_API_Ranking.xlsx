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2"/>
    <sheet name="Provider_Rankings" sheetId="2" state="visible" r:id="rId3"/>
    <sheet name="Provider_Details" sheetId="3" state="visible" r:id="rId4"/>
    <sheet name="Open_Source_Models" sheetId="4" state="visible" r:id="rId5"/>
    <sheet name="Anonymous_Access" sheetId="5" state="visible" r:id="rId6"/>
    <sheet name="Best_Picks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<sst xmlns="http://schemas.openxmlformats.org/spreadsheetml/2006/main" count="473" uniqueCount="327">
  <si>
    <t xml:space="preserve">Free LLM API Directory &amp; Ranking</t>
  </si>
  <si>
    <t xml:space="preserve">Source: github.com/tashfeenahmed/freellmapi — 18 providers / 161 free models / ~1.7B tokens per month aggregated</t>
  </si>
  <si>
    <t xml:space="preserve">What's in this workbook</t>
  </si>
  <si>
    <t xml:space="preserve">Sheet</t>
  </si>
  <si>
    <t xml:space="preserve">Purpose</t>
  </si>
  <si>
    <t xml:space="preserve">Provider_Rankings</t>
  </si>
  <si>
    <t xml:space="preserve">All 18 providers ranked across 10 domains. Composite + per-domain scores are LIVE formulas — flip a raw score in column C-K and the rankings update.</t>
  </si>
  <si>
    <t xml:space="preserve">Provider_Details</t>
  </si>
  <si>
    <t xml:space="preserve">Raw rate limits, model counts, and access info per provider. All numbers hardcoded as inputs (blue).</t>
  </si>
  <si>
    <t xml:space="preserve">Open_Source_Models</t>
  </si>
  <si>
    <t xml:space="preserve">Open-source / open-weight LLM weights (Llama, Qwen, DeepSeek, etc.) with context, license, and where to run them free.</t>
  </si>
  <si>
    <t xml:space="preserve">Anonymous_Access</t>
  </si>
  <si>
    <t xml:space="preserve">Detail sheet for the 7 providers that work without any signup or API key.</t>
  </si>
  <si>
    <t xml:space="preserve">Best_Picks</t>
  </si>
  <si>
    <t xml:space="preserve">"Use this when..." quick reference — fastest way to pick a provider for a given job.</t>
  </si>
  <si>
    <t xml:space="preserve">How to read this workbook</t>
  </si>
  <si>
    <t xml:space="preserve">• Blue numbers = hardcoded input (the assumptions).</t>
  </si>
  <si>
    <t xml:space="preserve">• Black numbers = derived from formulas (composite scores, ranks).</t>
  </si>
  <si>
    <t xml:space="preserve">• Green numbers = cross-sheet references (e.g. domain scores that pull from Provider_Details).</t>
  </si>
  <si>
    <t xml:space="preserve">• Conditional formatting on Provider_Rankings highlights the top scorer per domain.</t>
  </si>
  <si>
    <t xml:space="preserve">• Edit a raw score in column C–K of Provider_Rankings, hit recalc, every rank and composite re-evaluates.</t>
  </si>
  <si>
    <t xml:space="preserve">Sources</t>
  </si>
  <si>
    <t xml:space="preserve">• tashfeenahmed/freellmapi — primary directory of providers</t>
  </si>
  <si>
    <t xml:space="preserve">• cheahjs/free-llm-api-resources — per-model rate limits (community-maintained)</t>
  </si>
  <si>
    <t xml:space="preserve">• mnfst/awesome-free-llm-apis — open dataset of free providers</t>
  </si>
  <si>
    <t xml:space="preserve">• Provider documentation pages (linked in Provider_Details)</t>
  </si>
  <si>
    <t xml:space="preserve">• freellm.net, wotai.co/blog/best-free-llm-apis — 2025/2026 cross-checks</t>
  </si>
  <si>
    <t xml:space="preserve">Provider Rankings — flip raw scores in C:L to re-rank every column</t>
  </si>
  <si>
    <t xml:space="preserve">Raw scores 0-10 per domain (blue = input). Composite &amp; all ranks = formula (black). Higher score = better. Last updated July 2026.</t>
  </si>
  <si>
    <t xml:space="preserve">Rank
(Composite)</t>
  </si>
  <si>
    <t xml:space="preserve">Provider</t>
  </si>
  <si>
    <t xml:space="preserve">Speed
(TPS)</t>
  </si>
  <si>
    <t xml:space="preserve">Daily Volume
(RPD / tokens)</t>
  </si>
  <si>
    <t xml:space="preserve">Long Context
(max tokens)</t>
  </si>
  <si>
    <t xml:space="preserve">Model Selection
(count)</t>
  </si>
  <si>
    <t xml:space="preserve">Multimodal
(vision/audio)</t>
  </si>
  <si>
    <t xml:space="preserve">Production
Reliability</t>
  </si>
  <si>
    <t xml:space="preserve">OpenAI
Compat</t>
  </si>
  <si>
    <t xml:space="preserve">Cost
Efficiency (free)</t>
  </si>
  <si>
    <t xml:space="preserve">Anonymous
Access</t>
  </si>
  <si>
    <t xml:space="preserve">No Credit
Card</t>
  </si>
  <si>
    <t xml:space="preserve">Composite
Score (0-100)</t>
  </si>
  <si>
    <t xml:space="preserve">Best For</t>
  </si>
  <si>
    <t xml:space="preserve">Google AI Studio</t>
  </si>
  <si>
    <t xml:space="preserve">Long context, multimodal</t>
  </si>
  <si>
    <t xml:space="preserve">Groq</t>
  </si>
  <si>
    <t xml:space="preserve">Speed, real-time</t>
  </si>
  <si>
    <t xml:space="preserve">Cerebras</t>
  </si>
  <si>
    <t xml:space="preserve">Throughput, long context</t>
  </si>
  <si>
    <t xml:space="preserve">Mistral</t>
  </si>
  <si>
    <t xml:space="preserve">High token volume, EU</t>
  </si>
  <si>
    <t xml:space="preserve">OpenRouter</t>
  </si>
  <si>
    <t xml:space="preserve">One key, many models</t>
  </si>
  <si>
    <t xml:space="preserve">Cloudflare Workers AI</t>
  </si>
  <si>
    <t xml:space="preserve">Edge, model variety</t>
  </si>
  <si>
    <t xml:space="preserve">GitHub Models</t>
  </si>
  <si>
    <t xml:space="preserve">Frontier models, dev</t>
  </si>
  <si>
    <t xml:space="preserve">Cohere</t>
  </si>
  <si>
    <t xml:space="preserve">RAG (non-commercial)</t>
  </si>
  <si>
    <t xml:space="preserve">HuggingFace</t>
  </si>
  <si>
    <t xml:space="preserve">OSS experimentation</t>
  </si>
  <si>
    <t xml:space="preserve">NVIDIA NIM</t>
  </si>
  <si>
    <t xml:space="preserve">Eval, model variety</t>
  </si>
  <si>
    <t xml:space="preserve">Z.ai (Zhipu)</t>
  </si>
  <si>
    <t xml:space="preserve">Research, GLM family</t>
  </si>
  <si>
    <t xml:space="preserve">Ollama Cloud</t>
  </si>
  <si>
    <t xml:space="preserve">Cloud-free self-hosting</t>
  </si>
  <si>
    <t xml:space="preserve">Pollinations</t>
  </si>
  <si>
    <t xml:space="preserve">Quick test, no signup</t>
  </si>
  <si>
    <t xml:space="preserve">LLM7</t>
  </si>
  <si>
    <t xml:space="preserve">Anonymous w/ decent vol</t>
  </si>
  <si>
    <t xml:space="preserve">OVH AI Endpoints</t>
  </si>
  <si>
    <t xml:space="preserve">Anonymous w/ big models</t>
  </si>
  <si>
    <t xml:space="preserve">Kilo Gateway</t>
  </si>
  <si>
    <t xml:space="preserve">Quick test, :free routes</t>
  </si>
  <si>
    <t xml:space="preserve">OpenCode Zen</t>
  </si>
  <si>
    <t xml:space="preserve">Promo access, coding</t>
  </si>
  <si>
    <t xml:space="preserve">AI Horde</t>
  </si>
  <si>
    <t xml:space="preserve">Crowd, low priority</t>
  </si>
  <si>
    <t xml:space="preserve">Scoring legend</t>
  </si>
  <si>
    <t xml:space="preserve">0-2</t>
  </si>
  <si>
    <t xml:space="preserve">Severe limitation (no signup, very low cap, broken)</t>
  </si>
  <si>
    <t xml:space="preserve">3-4</t>
  </si>
  <si>
    <t xml:space="preserve">Usable for testing only</t>
  </si>
  <si>
    <t xml:space="preserve">5-6</t>
  </si>
  <si>
    <t xml:space="preserve">Solid for prototyping</t>
  </si>
  <si>
    <t xml:space="preserve">7-8</t>
  </si>
  <si>
    <t xml:space="preserve">Production-grade for small/medium apps</t>
  </si>
  <si>
    <t xml:space="preserve">9-10</t>
  </si>
  <si>
    <t xml:space="preserve">Best-in-class for that domain</t>
  </si>
  <si>
    <t xml:space="preserve">Provider Details — raw rate limits, model counts, and access</t>
  </si>
  <si>
    <t xml:space="preserve">RPM</t>
  </si>
  <si>
    <t xml:space="preserve">RPD</t>
  </si>
  <si>
    <t xml:space="preserve">TPM</t>
  </si>
  <si>
    <t xml:space="preserve">Daily Token Cap</t>
  </si>
  <si>
    <t xml:space="preserve">Max Context</t>
  </si>
  <si>
    <t xml:space="preserve">Free Models</t>
  </si>
  <si>
    <t xml:space="preserve">Best Model</t>
  </si>
  <si>
    <t xml:space="preserve">Card Req.</t>
  </si>
  <si>
    <t xml:space="preserve">Anonym.</t>
  </si>
  <si>
    <t xml:space="preserve">Status</t>
  </si>
  <si>
    <t xml:space="preserve">Notes</t>
  </si>
  <si>
    <t xml:space="preserve">Gemini 2.5 Flash</t>
  </si>
  <si>
    <t xml:space="preserve">No</t>
  </si>
  <si>
    <t xml:space="preserve">Production</t>
  </si>
  <si>
    <t xml:space="preserve">Generous free tier reduced in late-2025. Data used for training outside EU/UK/EEA.</t>
  </si>
  <si>
    <t xml:space="preserve">Llama 3.3 70B</t>
  </si>
  <si>
    <t xml:space="preserve">Ultra-fast LPU. ~320 TPS on Llama 3.3 70B. Llama 4 Scout 1000 RPD.</t>
  </si>
  <si>
    <t xml:space="preserve">Qwen3 235B (22B active)</t>
  </si>
  <si>
    <t xml:space="preserve">1M tokens/day cap. 30 RPM. Wafer-scale chips.</t>
  </si>
  <si>
    <t xml:space="preserve">Mistral Large 3</t>
  </si>
  <si>
    <t xml:space="preserve">~1B tokens/month on Experiment tier. Codestral, Devstral also free.</t>
  </si>
  <si>
    <t xml:space="preserve">Qwen3 Coder 480B</t>
  </si>
  <si>
    <t xml:space="preserve">1K RPD with one-time $10 top-up. 25+ free models.</t>
  </si>
  <si>
    <t xml:space="preserve">10K neurons/day (1 neuron ≈ 1 output token). 50+ models on free tier.</t>
  </si>
  <si>
    <t xml:space="preserve">GPT-4o</t>
  </si>
  <si>
    <t xml:space="preserve">Free for all GitHub users. Frontier model access (GPT-4o, Claude, Llama, Phi).</t>
  </si>
  <si>
    <t xml:space="preserve">Command R+</t>
  </si>
  <si>
    <t xml:space="preserve">Trial</t>
  </si>
  <si>
    <t xml:space="preserve">Trial tier only, non-commercial use.</t>
  </si>
  <si>
    <t xml:space="preserve">DeepSeek V3 / Llama</t>
  </si>
  <si>
    <t xml:space="preserve">Stable</t>
  </si>
  <si>
    <t xml:space="preserve">$0.10/mo credits (free); $2/mo (PRO). Serverless routes to 200+ models.</t>
  </si>
  <si>
    <t xml:space="preserve">Nemotron / Llama 3.3</t>
  </si>
  <si>
    <t xml:space="preserve">Eval only</t>
  </si>
  <si>
    <t xml:space="preserve">Evaluation-only ToS — not for production backends.</t>
  </si>
  <si>
    <t xml:space="preserve">GLM-4.5 / 4.7 Flash</t>
  </si>
  <si>
    <t xml:space="preserve">Research</t>
  </si>
  <si>
    <t xml:space="preserve">GLM-4.5/4.7 Flash free, non-commercial carve-out. 1 concurrent request.</t>
  </si>
  <si>
    <t xml:space="preserve">gpt-oss 120B</t>
  </si>
  <si>
    <t xml:space="preserve">Yes</t>
  </si>
  <si>
    <t xml:space="preserve">Session limits reset every 5h, weekly every 7d. 1 concurrent.</t>
  </si>
  <si>
    <t xml:space="preserve">GPT-OSS 20B</t>
  </si>
  <si>
    <t xml:space="preserve">Best-effort</t>
  </si>
  <si>
    <t xml:space="preserve">1 request / 15s anonymous, 1/5s seed, 1/3s flower. No signup required.</t>
  </si>
  <si>
    <t xml:space="preserve">GPT-OSS / Llama 3.1</t>
  </si>
  <si>
    <t xml:space="preserve">Anonymous 10/min, free token 40/min + 1M tokens/24h.</t>
  </si>
  <si>
    <t xml:space="preserve">Qwen3.5 397B</t>
  </si>
  <si>
    <t xml:space="preserve">Beta</t>
  </si>
  <si>
    <t xml:space="preserve">2 req/min anonymous per IP per model. 400 req/min authenticated.</t>
  </si>
  <si>
    <t xml:space="preserve">Various :free routes</t>
  </si>
  <si>
    <t xml:space="preserve">200 req/hr per IP anonymous. :free routes quality varies.</t>
  </si>
  <si>
    <t xml:space="preserve">DeepSeek V4 Flash</t>
  </si>
  <si>
    <t xml:space="preserve">Promo</t>
  </si>
  <si>
    <t xml:space="preserve">Promo anonymous access to DeepSeek V4 Flash + Nemotron.</t>
  </si>
  <si>
    <t xml:space="preserve">Community Llama / Gemma</t>
  </si>
  <si>
    <t xml:space="preserve">Community</t>
  </si>
  <si>
    <t xml:space="preserve">Crowd-sourced volunteer GPUs. Anonymous key `0000000000`, lowest priority.</t>
  </si>
  <si>
    <t xml:space="preserve">Open-Source LLM Weights — the actual model checkpoints you can self-host</t>
  </si>
  <si>
    <t xml:space="preserve">"Open Weight" = trained weights downloadable (training data/code often proprietary). "Open Source" = weights + code + data + training pipeline, all under a permissive license. Most "open" LLMs today are actually open weight.</t>
  </si>
  <si>
    <t xml:space="preserve">Model</t>
  </si>
  <si>
    <t xml:space="preserve">Family</t>
  </si>
  <si>
    <t xml:space="preserve">Params (Total)</t>
  </si>
  <si>
    <t xml:space="preserve">Params (Active)</t>
  </si>
  <si>
    <t xml:space="preserve">Context</t>
  </si>
  <si>
    <t xml:space="preserve">License</t>
  </si>
  <si>
    <t xml:space="preserve">Type</t>
  </si>
  <si>
    <t xml:space="preserve">Free Hosting</t>
  </si>
  <si>
    <t xml:space="preserve">Llama 4 Scout</t>
  </si>
  <si>
    <t xml:space="preserve">Llama 4</t>
  </si>
  <si>
    <t xml:space="preserve">Llama 4 Community</t>
  </si>
  <si>
    <t xml:space="preserve">Open Weight</t>
  </si>
  <si>
    <t xml:space="preserve">Ultra-long context, agentic</t>
  </si>
  <si>
    <t xml:space="preserve">Ollama, Groq, Cerebras, Cloudflare</t>
  </si>
  <si>
    <t xml:space="preserve">Llama 4 Maverick</t>
  </si>
  <si>
    <t xml:space="preserve">Frontier agentic</t>
  </si>
  <si>
    <t xml:space="preserve">Ollama, Groq</t>
  </si>
  <si>
    <t xml:space="preserve">Llama 3</t>
  </si>
  <si>
    <t xml:space="preserve">Llama 3.3</t>
  </si>
  <si>
    <t xml:space="preserve">High quality chat</t>
  </si>
  <si>
    <t xml:space="preserve">Groq, Cerebras, OpenRouter</t>
  </si>
  <si>
    <t xml:space="preserve">Llama 3.1 405B</t>
  </si>
  <si>
    <t xml:space="preserve">Llama 3.1</t>
  </si>
  <si>
    <t xml:space="preserve">Frontier dense LLM</t>
  </si>
  <si>
    <t xml:space="preserve">OpenRouter (via providers)</t>
  </si>
  <si>
    <t xml:space="preserve">Qwen3 235B-A22B</t>
  </si>
  <si>
    <t xml:space="preserve">Qwen 3</t>
  </si>
  <si>
    <t xml:space="preserve">Apache 2.0</t>
  </si>
  <si>
    <t xml:space="preserve">Multilingual, reasoning</t>
  </si>
  <si>
    <t xml:space="preserve">Cerebras, OpenRouter, Groq</t>
  </si>
  <si>
    <t xml:space="preserve">Qwen3 VL 235B A22B</t>
  </si>
  <si>
    <t xml:space="preserve">Vision + agentic GUI</t>
  </si>
  <si>
    <t xml:space="preserve">Fireworks, OpenRouter</t>
  </si>
  <si>
    <t xml:space="preserve">Code generation</t>
  </si>
  <si>
    <t xml:space="preserve">OpenRouter, Cerebras, Ollama</t>
  </si>
  <si>
    <t xml:space="preserve">Qwen3 32B</t>
  </si>
  <si>
    <t xml:space="preserve">Agent + tool calling</t>
  </si>
  <si>
    <t xml:space="preserve">Groq, OpenRouter, self-host</t>
  </si>
  <si>
    <t xml:space="preserve">DeepSeek V3</t>
  </si>
  <si>
    <t xml:space="preserve">DeepSeek</t>
  </si>
  <si>
    <t xml:space="preserve">DeepSeek License</t>
  </si>
  <si>
    <t xml:space="preserve">Reasoning, MoE</t>
  </si>
  <si>
    <t xml:space="preserve">HF, OpenRouter, self-host</t>
  </si>
  <si>
    <t xml:space="preserve">DeepSeek R1</t>
  </si>
  <si>
    <t xml:space="preserve">MIT</t>
  </si>
  <si>
    <t xml:space="preserve">Open Source</t>
  </si>
  <si>
    <t xml:space="preserve">Step-by-step reasoning</t>
  </si>
  <si>
    <t xml:space="preserve">DeepSeek V3.1</t>
  </si>
  <si>
    <t xml:space="preserve">Hybrid reasoning + chat</t>
  </si>
  <si>
    <t xml:space="preserve">DeepSeek V4 Pro</t>
  </si>
  <si>
    <t xml:space="preserve">Frontier MoE, 1M context</t>
  </si>
  <si>
    <t xml:space="preserve">Ollama Cloud, OpenRouter</t>
  </si>
  <si>
    <t xml:space="preserve">Fast frontier MoE</t>
  </si>
  <si>
    <t xml:space="preserve">Ollama Cloud, OpenCode Zen</t>
  </si>
  <si>
    <t xml:space="preserve">MRL (research)</t>
  </si>
  <si>
    <t xml:space="preserve">General, multimodal</t>
  </si>
  <si>
    <t xml:space="preserve">Mistral API, self-host</t>
  </si>
  <si>
    <t xml:space="preserve">Mixtral 8x22B</t>
  </si>
  <si>
    <t xml:space="preserve">Reasoning, multilingual</t>
  </si>
  <si>
    <t xml:space="preserve">self-host (vLLM/TGI)</t>
  </si>
  <si>
    <t xml:space="preserve">Mistral Small 3.1 24B</t>
  </si>
  <si>
    <t xml:space="preserve">Function calling, vision</t>
  </si>
  <si>
    <t xml:space="preserve">Mistral API, Cloudflare, GitHub</t>
  </si>
  <si>
    <t xml:space="preserve">Gemma 3 27B</t>
  </si>
  <si>
    <t xml:space="preserve">Gemma</t>
  </si>
  <si>
    <t xml:space="preserve">Gemma License</t>
  </si>
  <si>
    <t xml:space="preserve">Local agentic, vision</t>
  </si>
  <si>
    <t xml:space="preserve">Google AI Studio, HF, Ollama</t>
  </si>
  <si>
    <t xml:space="preserve">GLM-4.5</t>
  </si>
  <si>
    <t xml:space="preserve">GLM/Zhipu</t>
  </si>
  <si>
    <t xml:space="preserve">Zhipu custom</t>
  </si>
  <si>
    <t xml:space="preserve">Agentic, reasoning, coding</t>
  </si>
  <si>
    <t xml:space="preserve">Z.ai, HF, ModelScope, vLLM</t>
  </si>
  <si>
    <t xml:space="preserve">GLM-4.6V</t>
  </si>
  <si>
    <t xml:space="preserve">Vision + GUI agents</t>
  </si>
  <si>
    <t xml:space="preserve">Z.ai, HF</t>
  </si>
  <si>
    <t xml:space="preserve">GLM-4.7 Flash</t>
  </si>
  <si>
    <t xml:space="preserve">Reasoning on/off switch</t>
  </si>
  <si>
    <t xml:space="preserve">Z.ai free tier, Cloudflare</t>
  </si>
  <si>
    <t xml:space="preserve">Kimi K2 1T</t>
  </si>
  <si>
    <t xml:space="preserve">Moonshot</t>
  </si>
  <si>
    <t xml:space="preserve">Modified MIT</t>
  </si>
  <si>
    <t xml:space="preserve">Long-doc reasoning, agentic</t>
  </si>
  <si>
    <t xml:space="preserve">Ollama Cloud, Cloudflare, HF</t>
  </si>
  <si>
    <t xml:space="preserve">Command R+ 104B</t>
  </si>
  <si>
    <t xml:space="preserve">CC-BY-NC 4.0</t>
  </si>
  <si>
    <t xml:space="preserve">RAG, tool use, multilingual</t>
  </si>
  <si>
    <t xml:space="preserve">Cohere, self-host</t>
  </si>
  <si>
    <t xml:space="preserve">Phi-4 14B</t>
  </si>
  <si>
    <t xml:space="preserve">Microsoft</t>
  </si>
  <si>
    <t xml:space="preserve">Small / efficient</t>
  </si>
  <si>
    <t xml:space="preserve">Ollama, HF, self-host</t>
  </si>
  <si>
    <t xml:space="preserve">OLMo 2 32B</t>
  </si>
  <si>
    <t xml:space="preserve">OLMo / AI2</t>
  </si>
  <si>
    <t xml:space="preserve">Fully open research model</t>
  </si>
  <si>
    <t xml:space="preserve">HF, self-host</t>
  </si>
  <si>
    <t xml:space="preserve">StarCoder 2 7B</t>
  </si>
  <si>
    <t xml:space="preserve">BigCode</t>
  </si>
  <si>
    <t xml:space="preserve">Code (truly open)</t>
  </si>
  <si>
    <t xml:space="preserve">GPT-OSS 120B</t>
  </si>
  <si>
    <t xml:space="preserve">OpenAI</t>
  </si>
  <si>
    <t xml:space="preserve">Reasoning, agentic</t>
  </si>
  <si>
    <t xml:space="preserve">Groq, Cerebras, OpenRouter, Pollinations, LLM7</t>
  </si>
  <si>
    <t xml:space="preserve">Lightweight reasoning</t>
  </si>
  <si>
    <t xml:space="preserve">Pollinations, Groq, OVH, LLM7</t>
  </si>
  <si>
    <t xml:space="preserve">Nemotron Super 49B</t>
  </si>
  <si>
    <t xml:space="preserve">NVIDIA</t>
  </si>
  <si>
    <t xml:space="preserve">NVIDIA Open</t>
  </si>
  <si>
    <t xml:space="preserve">Reasoning + tools</t>
  </si>
  <si>
    <t xml:space="preserve">NVIDIA NIM, OpenCode Zen</t>
  </si>
  <si>
    <t xml:space="preserve">Summary</t>
  </si>
  <si>
    <t xml:space="preserve">Models listed:</t>
  </si>
  <si>
    <t xml:space="preserve">Truly open source (not just open weight):</t>
  </si>
  <si>
    <t xml:space="preserve">Largest context window:</t>
  </si>
  <si>
    <t xml:space="preserve">Anonymous / No-Signup Providers — the only ones that work with zero account</t>
  </si>
  <si>
    <t xml:space="preserve">If you want to try a model without creating an account, these are the providers. Quality + uptime bounce around, but they all really do work keyless.</t>
  </si>
  <si>
    <t xml:space="preserve">Anon RPM</t>
  </si>
  <si>
    <t xml:space="preserve">Anon RPD</t>
  </si>
  <si>
    <t xml:space="preserve">Anon Daily Tokens</t>
  </si>
  <si>
    <t xml:space="preserve">Signup Required</t>
  </si>
  <si>
    <t xml:space="preserve">Available Models</t>
  </si>
  <si>
    <t xml:space="preserve">GPT-OSS 20B, Llama, Mistral, Qwen, image/audio/video</t>
  </si>
  <si>
    <t xml:space="preserve">No (token free at dash.llm7.io)</t>
  </si>
  <si>
    <t xml:space="preserve">GPT-OSS, Llama 3.1, GLM, DeepSeek quantized</t>
  </si>
  <si>
    <t xml:space="preserve">Qwen3.5 397B, GPT-OSS, Llama 3.3, CodeLlama, Mistral</t>
  </si>
  <si>
    <t xml:space="preserve">:free routes (provider-pooled)</t>
  </si>
  <si>
    <t xml:space="preserve">DeepSeek V4 Flash, Nemotron (promo)</t>
  </si>
  <si>
    <t xml:space="preserve">Account (no card)</t>
  </si>
  <si>
    <t xml:space="preserve">GLM-4.7, Kimi K2, gpt-oss, Qwen3, DeepSeek</t>
  </si>
  <si>
    <t xml:space="preserve">No (anon key 0000000000)</t>
  </si>
  <si>
    <t xml:space="preserve">Community Llama, Gemma, Cydonia (low priority)</t>
  </si>
  <si>
    <t xml:space="preserve">Best Picks — "use this when..."</t>
  </si>
  <si>
    <t xml:space="preserve">If you need...</t>
  </si>
  <si>
    <t xml:space="preserve">Pick</t>
  </si>
  <si>
    <t xml:space="preserve">Why</t>
  </si>
  <si>
    <t xml:space="preserve">Highest rate limits</t>
  </si>
  <si>
    <t xml:space="preserve">Groq, Cerebras</t>
  </si>
  <si>
    <t xml:space="preserve">30 RPM + 14.4K RPD on flagship models. Both are production-grade.</t>
  </si>
  <si>
    <t xml:space="preserve">Largest model selection</t>
  </si>
  <si>
    <t xml:space="preserve">Cloudflare, OpenRouter</t>
  </si>
  <si>
    <t xml:space="preserve">Cloudflare has 49+ free models; OpenRouter has 25+ free routes.</t>
  </si>
  <si>
    <t xml:space="preserve">Strongest proprietary models</t>
  </si>
  <si>
    <t xml:space="preserve">GitHub Models, Google</t>
  </si>
  <si>
    <t xml:space="preserve">GPT-4o, Claude 3.5, Gemini 2.5 Pro for free via GitHub/AI Studio.</t>
  </si>
  <si>
    <t xml:space="preserve">Fastest inference</t>
  </si>
  <si>
    <t xml:space="preserve">Both optimized for speed — ~300+ TPS on 70B-class models.</t>
  </si>
  <si>
    <t xml:space="preserve">Largest token budget</t>
  </si>
  <si>
    <t xml:space="preserve">Mistral (Experiment)</t>
  </si>
  <si>
    <t xml:space="preserve">~1B tokens / month on Mistral's free experiment tier.</t>
  </si>
  <si>
    <t xml:space="preserve">Longest context</t>
  </si>
  <si>
    <t xml:space="preserve">Google, Cerebras</t>
  </si>
  <si>
    <t xml:space="preserve">Both reach 1M tokens context on free tier.</t>
  </si>
  <si>
    <t xml:space="preserve">European provider</t>
  </si>
  <si>
    <t xml:space="preserve">Mistral, LLM7</t>
  </si>
  <si>
    <t xml:space="preserve">Mistral (EU), LLM7 (UK) — both GDPR-friendly.</t>
  </si>
  <si>
    <t xml:space="preserve">No signup required</t>
  </si>
  <si>
    <t xml:space="preserve">Pollinations, LLM7, OVH, Kilo, OpenCode Zen</t>
  </si>
  <si>
    <t xml:space="preserve">Truly keyless — pass prompt, get answer.</t>
  </si>
  <si>
    <t xml:space="preserve">Best for coding</t>
  </si>
  <si>
    <t xml:space="preserve">Cerebras, Groq, Mistral</t>
  </si>
  <si>
    <t xml:space="preserve">Qwen3 Coder 480B on Cerebras, Qwen3 32B on Groq, Codestral on Mistral.</t>
  </si>
  <si>
    <t xml:space="preserve">Best for RAG / long docs</t>
  </si>
  <si>
    <t xml:space="preserve">Google, Cerebras, NVIDIA</t>
  </si>
  <si>
    <t xml:space="preserve">1M context on Gemini / Cerebras, 128K on NVIDIA NIM catalog.</t>
  </si>
  <si>
    <t xml:space="preserve">Best anonymous (text)</t>
  </si>
  <si>
    <t xml:space="preserve">1/15s anon, no signup, fully open access.</t>
  </si>
  <si>
    <t xml:space="preserve">Best anonymous (volume)</t>
  </si>
  <si>
    <t xml:space="preserve">Anonymous 10/min + 500K tokens/day without signup.</t>
  </si>
  <si>
    <t xml:space="preserve">Most production-grade</t>
  </si>
  <si>
    <t xml:space="preserve">Google, Groq, OpenRouter</t>
  </si>
  <si>
    <t xml:space="preserve">All three operate at frontier scale with consistent SLAs.</t>
  </si>
  <si>
    <t xml:space="preserve">Best for self-hosting</t>
  </si>
  <si>
    <t xml:space="preserve">Ollama</t>
  </si>
  <si>
    <t xml:space="preserve">Free, MIT-licensed runtime. Run Llama, Qwen, DeepSeek, Mistral locally.</t>
  </si>
  <si>
    <t xml:space="preserve">Best truly-open weights</t>
  </si>
  <si>
    <t xml:space="preserve">OLMo 2, StarCoder 2</t>
  </si>
  <si>
    <t xml:space="preserve">Full open source (weights + code + data), not just open weights.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</si>
</sst>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#,##0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937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3"/>
      <color rgb="FF1F293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mbria"/>
      <family val="0"/>
      <charset val="1"/>
    </font>
    <font>
      <sz val="10"/>
      <name val="Cambria"/>
      <family val="0"/>
      <charset val="1"/>
    </font>
    <font>
      <sz val="11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11"/>
      <color rgb="FF374151"/>
      <name val="Cambria"/>
      <family val="0"/>
      <charset val="1"/>
    </font>
    <font>
      <b val="true"/>
      <sz val="11"/>
      <color rgb="FF92400E"/>
      <name val="Cambria"/>
      <family val="0"/>
      <charset val="1"/>
    </font>
    <font>
      <b val="true"/>
      <sz val="11"/>
      <color rgb="FF065F46"/>
      <name val="Cambria"/>
      <family val="0"/>
      <charset val="1"/>
    </font>
    <font>
      <sz val="11"/>
      <color rgb="FF008000"/>
      <name val="Calibri"/>
      <family val="0"/>
      <charset val="1"/>
    </font>
    <font>
      <b val="true"/>
      <sz val="11"/>
      <color rgb="FF1D4ED8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  <fill>
      <patternFill patternType="solid">
        <fgColor rgb="FFD1FAE5"/>
        <bgColor rgb="FFCCFFFF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065F46"/>
      </font>
      <fill>
        <patternFill>
          <bgColor rgb="FFD1FAE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2400E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6" t="s">
        <v>5</v>
      </c>
      <c r="B6" s="7" t="s">
        <v>6</v>
      </c>
    </row>
    <row r="7" customFormat="false" ht="15" hidden="false" customHeight="false" outlineLevel="0" collapsed="false">
      <c r="A7" s="6" t="s">
        <v>7</v>
      </c>
      <c r="B7" s="7" t="s">
        <v>8</v>
      </c>
    </row>
    <row r="8" customFormat="false" ht="15" hidden="false" customHeight="false" outlineLevel="0" collapsed="false">
      <c r="A8" s="6" t="s">
        <v>9</v>
      </c>
      <c r="B8" s="7" t="s">
        <v>10</v>
      </c>
    </row>
    <row r="9" customFormat="false" ht="15" hidden="false" customHeight="false" outlineLevel="0" collapsed="false">
      <c r="A9" s="6" t="s">
        <v>11</v>
      </c>
      <c r="B9" s="7" t="s">
        <v>12</v>
      </c>
    </row>
    <row r="10" customFormat="false" ht="15" hidden="false" customHeight="false" outlineLevel="0" collapsed="false">
      <c r="A10" s="6" t="s">
        <v>13</v>
      </c>
      <c r="B10" s="7" t="s">
        <v>14</v>
      </c>
    </row>
    <row r="13" customFormat="false" ht="15" hidden="false" customHeight="false" outlineLevel="0" collapsed="false">
      <c r="A13" s="3" t="s">
        <v>15</v>
      </c>
    </row>
    <row r="14" customFormat="false" ht="15" hidden="false" customHeight="false" outlineLevel="0" collapsed="false">
      <c r="A14" s="8" t="s">
        <v>16</v>
      </c>
    </row>
    <row r="15" customFormat="false" ht="15" hidden="false" customHeight="false" outlineLevel="0" collapsed="false">
      <c r="A15" s="8" t="s">
        <v>17</v>
      </c>
    </row>
    <row r="16" customFormat="false" ht="15" hidden="false" customHeight="false" outlineLevel="0" collapsed="false">
      <c r="A16" s="8" t="s">
        <v>18</v>
      </c>
    </row>
    <row r="17" customFormat="false" ht="15" hidden="false" customHeight="false" outlineLevel="0" collapsed="false">
      <c r="A17" s="8" t="s">
        <v>19</v>
      </c>
    </row>
    <row r="18" customFormat="false" ht="15" hidden="false" customHeight="false" outlineLevel="0" collapsed="false">
      <c r="A18" s="8" t="s">
        <v>20</v>
      </c>
    </row>
    <row r="21" customFormat="false" ht="15" hidden="false" customHeight="false" outlineLevel="0" collapsed="false">
      <c r="A21" s="3" t="s">
        <v>21</v>
      </c>
    </row>
    <row r="22" customFormat="false" ht="15" hidden="false" customHeight="false" outlineLevel="0" collapsed="false">
      <c r="A22" s="9" t="s">
        <v>22</v>
      </c>
    </row>
    <row r="23" customFormat="false" ht="15" hidden="false" customHeight="false" outlineLevel="0" collapsed="false">
      <c r="A23" s="9" t="s">
        <v>23</v>
      </c>
    </row>
    <row r="24" customFormat="false" ht="15" hidden="false" customHeight="false" outlineLevel="0" collapsed="false">
      <c r="A24" s="9" t="s">
        <v>24</v>
      </c>
    </row>
    <row r="25" customFormat="false" ht="15" hidden="false" customHeight="false" outlineLevel="0" collapsed="false">
      <c r="A25" s="9" t="s">
        <v>25</v>
      </c>
    </row>
    <row r="26" customFormat="false" ht="15" hidden="false" customHeight="false" outlineLevel="0" collapsed="false">
      <c r="A26" s="9" t="s">
        <v>26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12" min="3" style="0" width="12"/>
    <col collapsed="false" customWidth="true" hidden="false" outlineLevel="0" max="13" min="13" style="0" width="14"/>
    <col collapsed="false" customWidth="true" hidden="false" outlineLevel="0" max="14" min="14" style="0" width="30"/>
  </cols>
  <sheetData>
    <row r="1" customFormat="false" ht="25.5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37.5" hidden="false" customHeight="true" outlineLevel="0" collapsed="false">
      <c r="A4" s="10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  <c r="I4" s="10" t="s">
        <v>37</v>
      </c>
      <c r="J4" s="10" t="s">
        <v>38</v>
      </c>
      <c r="K4" s="10" t="s">
        <v>39</v>
      </c>
      <c r="L4" s="10" t="s">
        <v>40</v>
      </c>
      <c r="M4" s="10" t="s">
        <v>41</v>
      </c>
      <c r="N4" s="10" t="s">
        <v>42</v>
      </c>
    </row>
    <row r="5" customFormat="false" ht="21.75" hidden="false" customHeight="true" outlineLevel="0" collapsed="false">
      <c r="A5" s="11" t="n">
        <f aca="false">RANK(M5,$M$5:$M$22)</f>
        <v>3</v>
      </c>
      <c r="B5" s="12" t="s">
        <v>43</v>
      </c>
      <c r="C5" s="13" t="n">
        <v>7</v>
      </c>
      <c r="D5" s="13" t="n">
        <v>8</v>
      </c>
      <c r="E5" s="13" t="n">
        <v>10</v>
      </c>
      <c r="F5" s="13" t="n">
        <v>6</v>
      </c>
      <c r="G5" s="13" t="n">
        <v>10</v>
      </c>
      <c r="H5" s="13" t="n">
        <v>10</v>
      </c>
      <c r="I5" s="13" t="n">
        <v>8</v>
      </c>
      <c r="J5" s="13" t="n">
        <v>8</v>
      </c>
      <c r="K5" s="13" t="n">
        <v>0</v>
      </c>
      <c r="L5" s="13" t="n">
        <v>10</v>
      </c>
      <c r="M5" s="14" t="n">
        <f aca="false">SUM(C5:L5)</f>
        <v>77</v>
      </c>
      <c r="N5" s="15" t="s">
        <v>44</v>
      </c>
    </row>
    <row r="6" customFormat="false" ht="21.75" hidden="false" customHeight="true" outlineLevel="0" collapsed="false">
      <c r="A6" s="11" t="n">
        <f aca="false">RANK(M6,$M$5:$M$22)</f>
        <v>2</v>
      </c>
      <c r="B6" s="12" t="s">
        <v>45</v>
      </c>
      <c r="C6" s="13" t="n">
        <v>10</v>
      </c>
      <c r="D6" s="13" t="n">
        <v>9</v>
      </c>
      <c r="E6" s="13" t="n">
        <v>7</v>
      </c>
      <c r="F6" s="13" t="n">
        <v>7</v>
      </c>
      <c r="G6" s="13" t="n">
        <v>8</v>
      </c>
      <c r="H6" s="13" t="n">
        <v>9</v>
      </c>
      <c r="I6" s="13" t="n">
        <v>10</v>
      </c>
      <c r="J6" s="13" t="n">
        <v>9</v>
      </c>
      <c r="K6" s="13" t="n">
        <v>0</v>
      </c>
      <c r="L6" s="13" t="n">
        <v>10</v>
      </c>
      <c r="M6" s="14" t="n">
        <f aca="false">SUM(C6:L6)</f>
        <v>79</v>
      </c>
      <c r="N6" s="15" t="s">
        <v>46</v>
      </c>
    </row>
    <row r="7" customFormat="false" ht="21.75" hidden="false" customHeight="true" outlineLevel="0" collapsed="false">
      <c r="A7" s="11" t="n">
        <f aca="false">RANK(M7,$M$5:$M$22)</f>
        <v>1</v>
      </c>
      <c r="B7" s="12" t="s">
        <v>47</v>
      </c>
      <c r="C7" s="13" t="n">
        <v>10</v>
      </c>
      <c r="D7" s="13" t="n">
        <v>10</v>
      </c>
      <c r="E7" s="13" t="n">
        <v>10</v>
      </c>
      <c r="F7" s="13" t="n">
        <v>6</v>
      </c>
      <c r="G7" s="13" t="n">
        <v>6</v>
      </c>
      <c r="H7" s="13" t="n">
        <v>8</v>
      </c>
      <c r="I7" s="13" t="n">
        <v>10</v>
      </c>
      <c r="J7" s="13" t="n">
        <v>10</v>
      </c>
      <c r="K7" s="13" t="n">
        <v>0</v>
      </c>
      <c r="L7" s="13" t="n">
        <v>10</v>
      </c>
      <c r="M7" s="14" t="n">
        <f aca="false">SUM(C7:L7)</f>
        <v>80</v>
      </c>
      <c r="N7" s="15" t="s">
        <v>48</v>
      </c>
    </row>
    <row r="8" customFormat="false" ht="21.75" hidden="false" customHeight="true" outlineLevel="0" collapsed="false">
      <c r="A8" s="11" t="n">
        <f aca="false">RANK(M8,$M$5:$M$22)</f>
        <v>4</v>
      </c>
      <c r="B8" s="12" t="s">
        <v>49</v>
      </c>
      <c r="C8" s="13" t="n">
        <v>7</v>
      </c>
      <c r="D8" s="13" t="n">
        <v>9</v>
      </c>
      <c r="E8" s="13" t="n">
        <v>8</v>
      </c>
      <c r="F8" s="13" t="n">
        <v>5</v>
      </c>
      <c r="G8" s="13" t="n">
        <v>7</v>
      </c>
      <c r="H8" s="13" t="n">
        <v>9</v>
      </c>
      <c r="I8" s="13" t="n">
        <v>10</v>
      </c>
      <c r="J8" s="13" t="n">
        <v>10</v>
      </c>
      <c r="K8" s="13" t="n">
        <v>0</v>
      </c>
      <c r="L8" s="13" t="n">
        <v>10</v>
      </c>
      <c r="M8" s="14" t="n">
        <f aca="false">SUM(C8:L8)</f>
        <v>75</v>
      </c>
      <c r="N8" s="15" t="s">
        <v>50</v>
      </c>
    </row>
    <row r="9" customFormat="false" ht="21.75" hidden="false" customHeight="true" outlineLevel="0" collapsed="false">
      <c r="A9" s="11" t="n">
        <f aca="false">RANK(M9,$M$5:$M$22)</f>
        <v>5</v>
      </c>
      <c r="B9" s="12" t="s">
        <v>51</v>
      </c>
      <c r="C9" s="13" t="n">
        <v>6</v>
      </c>
      <c r="D9" s="13" t="n">
        <v>4</v>
      </c>
      <c r="E9" s="13" t="n">
        <v>10</v>
      </c>
      <c r="F9" s="13" t="n">
        <v>9</v>
      </c>
      <c r="G9" s="13" t="n">
        <v>8</v>
      </c>
      <c r="H9" s="13" t="n">
        <v>9</v>
      </c>
      <c r="I9" s="13" t="n">
        <v>10</v>
      </c>
      <c r="J9" s="13" t="n">
        <v>7</v>
      </c>
      <c r="K9" s="13" t="n">
        <v>0</v>
      </c>
      <c r="L9" s="13" t="n">
        <v>10</v>
      </c>
      <c r="M9" s="14" t="n">
        <f aca="false">SUM(C9:L9)</f>
        <v>73</v>
      </c>
      <c r="N9" s="15" t="s">
        <v>52</v>
      </c>
    </row>
    <row r="10" customFormat="false" ht="21.75" hidden="false" customHeight="true" outlineLevel="0" collapsed="false">
      <c r="A10" s="11" t="n">
        <f aca="false">RANK(M10,$M$5:$M$22)</f>
        <v>7</v>
      </c>
      <c r="B10" s="12" t="s">
        <v>53</v>
      </c>
      <c r="C10" s="13" t="n">
        <v>7</v>
      </c>
      <c r="D10" s="13" t="n">
        <v>8</v>
      </c>
      <c r="E10" s="13" t="n">
        <v>6</v>
      </c>
      <c r="F10" s="13" t="n">
        <v>10</v>
      </c>
      <c r="G10" s="13" t="n">
        <v>7</v>
      </c>
      <c r="H10" s="13" t="n">
        <v>8</v>
      </c>
      <c r="I10" s="13" t="n">
        <v>5</v>
      </c>
      <c r="J10" s="13" t="n">
        <v>9</v>
      </c>
      <c r="K10" s="13" t="n">
        <v>0</v>
      </c>
      <c r="L10" s="13" t="n">
        <v>10</v>
      </c>
      <c r="M10" s="14" t="n">
        <f aca="false">SUM(C10:L10)</f>
        <v>70</v>
      </c>
      <c r="N10" s="15" t="s">
        <v>54</v>
      </c>
    </row>
    <row r="11" customFormat="false" ht="21.75" hidden="false" customHeight="true" outlineLevel="0" collapsed="false">
      <c r="A11" s="11" t="n">
        <f aca="false">RANK(M11,$M$5:$M$22)</f>
        <v>6</v>
      </c>
      <c r="B11" s="12" t="s">
        <v>55</v>
      </c>
      <c r="C11" s="13" t="n">
        <v>5</v>
      </c>
      <c r="D11" s="13" t="n">
        <v>3</v>
      </c>
      <c r="E11" s="13" t="n">
        <v>7</v>
      </c>
      <c r="F11" s="13" t="n">
        <v>9</v>
      </c>
      <c r="G11" s="13" t="n">
        <v>10</v>
      </c>
      <c r="H11" s="13" t="n">
        <v>9</v>
      </c>
      <c r="I11" s="13" t="n">
        <v>10</v>
      </c>
      <c r="J11" s="13" t="n">
        <v>8</v>
      </c>
      <c r="K11" s="13" t="n">
        <v>0</v>
      </c>
      <c r="L11" s="13" t="n">
        <v>10</v>
      </c>
      <c r="M11" s="14" t="n">
        <f aca="false">SUM(C11:L11)</f>
        <v>71</v>
      </c>
      <c r="N11" s="15" t="s">
        <v>56</v>
      </c>
    </row>
    <row r="12" customFormat="false" ht="21.75" hidden="false" customHeight="true" outlineLevel="0" collapsed="false">
      <c r="A12" s="11" t="n">
        <f aca="false">RANK(M12,$M$5:$M$22)</f>
        <v>18</v>
      </c>
      <c r="B12" s="12" t="s">
        <v>57</v>
      </c>
      <c r="C12" s="13" t="n">
        <v>4</v>
      </c>
      <c r="D12" s="13" t="n">
        <v>2</v>
      </c>
      <c r="E12" s="13" t="n">
        <v>7</v>
      </c>
      <c r="F12" s="13" t="n">
        <v>3</v>
      </c>
      <c r="G12" s="13" t="n">
        <v>5</v>
      </c>
      <c r="H12" s="13" t="n">
        <v>7</v>
      </c>
      <c r="I12" s="13" t="n">
        <v>5</v>
      </c>
      <c r="J12" s="13" t="n">
        <v>5</v>
      </c>
      <c r="K12" s="13" t="n">
        <v>0</v>
      </c>
      <c r="L12" s="13" t="n">
        <v>10</v>
      </c>
      <c r="M12" s="14" t="n">
        <f aca="false">SUM(C12:L12)</f>
        <v>48</v>
      </c>
      <c r="N12" s="15" t="s">
        <v>58</v>
      </c>
    </row>
    <row r="13" customFormat="false" ht="21.75" hidden="false" customHeight="true" outlineLevel="0" collapsed="false">
      <c r="A13" s="11" t="n">
        <f aca="false">RANK(M13,$M$5:$M$22)</f>
        <v>16</v>
      </c>
      <c r="B13" s="12" t="s">
        <v>59</v>
      </c>
      <c r="C13" s="13" t="n">
        <v>5</v>
      </c>
      <c r="D13" s="13" t="n">
        <v>2</v>
      </c>
      <c r="E13" s="13" t="n">
        <v>7</v>
      </c>
      <c r="F13" s="13" t="n">
        <v>10</v>
      </c>
      <c r="G13" s="13" t="n">
        <v>7</v>
      </c>
      <c r="H13" s="13" t="n">
        <v>6</v>
      </c>
      <c r="I13" s="13" t="n">
        <v>5</v>
      </c>
      <c r="J13" s="13" t="n">
        <v>4</v>
      </c>
      <c r="K13" s="13" t="n">
        <v>0</v>
      </c>
      <c r="L13" s="13" t="n">
        <v>10</v>
      </c>
      <c r="M13" s="14" t="n">
        <f aca="false">SUM(C13:L13)</f>
        <v>56</v>
      </c>
      <c r="N13" s="15" t="s">
        <v>60</v>
      </c>
    </row>
    <row r="14" customFormat="false" ht="21.75" hidden="false" customHeight="true" outlineLevel="0" collapsed="false">
      <c r="A14" s="11" t="n">
        <f aca="false">RANK(M14,$M$5:$M$22)</f>
        <v>11</v>
      </c>
      <c r="B14" s="12" t="s">
        <v>61</v>
      </c>
      <c r="C14" s="13" t="n">
        <v>7</v>
      </c>
      <c r="D14" s="13" t="n">
        <v>5</v>
      </c>
      <c r="E14" s="13" t="n">
        <v>7</v>
      </c>
      <c r="F14" s="13" t="n">
        <v>10</v>
      </c>
      <c r="G14" s="13" t="n">
        <v>8</v>
      </c>
      <c r="H14" s="13" t="n">
        <v>4</v>
      </c>
      <c r="I14" s="13" t="n">
        <v>5</v>
      </c>
      <c r="J14" s="13" t="n">
        <v>6</v>
      </c>
      <c r="K14" s="13" t="n">
        <v>0</v>
      </c>
      <c r="L14" s="13" t="n">
        <v>10</v>
      </c>
      <c r="M14" s="14" t="n">
        <f aca="false">SUM(C14:L14)</f>
        <v>62</v>
      </c>
      <c r="N14" s="15" t="s">
        <v>62</v>
      </c>
    </row>
    <row r="15" customFormat="false" ht="21.75" hidden="false" customHeight="true" outlineLevel="0" collapsed="false">
      <c r="A15" s="11" t="n">
        <f aca="false">RANK(M15,$M$5:$M$22)</f>
        <v>14</v>
      </c>
      <c r="B15" s="12" t="s">
        <v>63</v>
      </c>
      <c r="C15" s="13" t="n">
        <v>6</v>
      </c>
      <c r="D15" s="13" t="n">
        <v>3</v>
      </c>
      <c r="E15" s="13" t="n">
        <v>7</v>
      </c>
      <c r="F15" s="13" t="n">
        <v>3</v>
      </c>
      <c r="G15" s="13" t="n">
        <v>6</v>
      </c>
      <c r="H15" s="13" t="n">
        <v>5</v>
      </c>
      <c r="I15" s="13" t="n">
        <v>10</v>
      </c>
      <c r="J15" s="13" t="n">
        <v>7</v>
      </c>
      <c r="K15" s="13" t="n">
        <v>0</v>
      </c>
      <c r="L15" s="13" t="n">
        <v>10</v>
      </c>
      <c r="M15" s="14" t="n">
        <f aca="false">SUM(C15:L15)</f>
        <v>57</v>
      </c>
      <c r="N15" s="15" t="s">
        <v>64</v>
      </c>
    </row>
    <row r="16" customFormat="false" ht="21.75" hidden="false" customHeight="true" outlineLevel="0" collapsed="false">
      <c r="A16" s="11" t="n">
        <f aca="false">RANK(M16,$M$5:$M$22)</f>
        <v>10</v>
      </c>
      <c r="B16" s="12" t="s">
        <v>65</v>
      </c>
      <c r="C16" s="13" t="n">
        <v>6</v>
      </c>
      <c r="D16" s="13" t="n">
        <v>4</v>
      </c>
      <c r="E16" s="13" t="n">
        <v>7</v>
      </c>
      <c r="F16" s="13" t="n">
        <v>4</v>
      </c>
      <c r="G16" s="13" t="n">
        <v>5</v>
      </c>
      <c r="H16" s="13" t="n">
        <v>6</v>
      </c>
      <c r="I16" s="13" t="n">
        <v>10</v>
      </c>
      <c r="J16" s="13" t="n">
        <v>5</v>
      </c>
      <c r="K16" s="13" t="n">
        <v>6</v>
      </c>
      <c r="L16" s="13" t="n">
        <v>10</v>
      </c>
      <c r="M16" s="14" t="n">
        <f aca="false">SUM(C16:L16)</f>
        <v>63</v>
      </c>
      <c r="N16" s="15" t="s">
        <v>66</v>
      </c>
    </row>
    <row r="17" customFormat="false" ht="21.75" hidden="false" customHeight="true" outlineLevel="0" collapsed="false">
      <c r="A17" s="11" t="n">
        <f aca="false">RANK(M17,$M$5:$M$22)</f>
        <v>14</v>
      </c>
      <c r="B17" s="12" t="s">
        <v>67</v>
      </c>
      <c r="C17" s="13" t="n">
        <v>3</v>
      </c>
      <c r="D17" s="13" t="n">
        <v>1</v>
      </c>
      <c r="E17" s="13" t="n">
        <v>5</v>
      </c>
      <c r="F17" s="13" t="n">
        <v>4</v>
      </c>
      <c r="G17" s="13" t="n">
        <v>3</v>
      </c>
      <c r="H17" s="13" t="n">
        <v>2</v>
      </c>
      <c r="I17" s="13" t="n">
        <v>10</v>
      </c>
      <c r="J17" s="13" t="n">
        <v>9</v>
      </c>
      <c r="K17" s="13" t="n">
        <v>10</v>
      </c>
      <c r="L17" s="13" t="n">
        <v>10</v>
      </c>
      <c r="M17" s="14" t="n">
        <f aca="false">SUM(C17:L17)</f>
        <v>57</v>
      </c>
      <c r="N17" s="15" t="s">
        <v>68</v>
      </c>
    </row>
    <row r="18" customFormat="false" ht="21.75" hidden="false" customHeight="true" outlineLevel="0" collapsed="false">
      <c r="A18" s="11" t="n">
        <f aca="false">RANK(M18,$M$5:$M$22)</f>
        <v>9</v>
      </c>
      <c r="B18" s="12" t="s">
        <v>69</v>
      </c>
      <c r="C18" s="13" t="n">
        <v>5</v>
      </c>
      <c r="D18" s="13" t="n">
        <v>3</v>
      </c>
      <c r="E18" s="13" t="n">
        <v>6</v>
      </c>
      <c r="F18" s="13" t="n">
        <v>4</v>
      </c>
      <c r="G18" s="13" t="n">
        <v>3</v>
      </c>
      <c r="H18" s="13" t="n">
        <v>5</v>
      </c>
      <c r="I18" s="13" t="n">
        <v>10</v>
      </c>
      <c r="J18" s="13" t="n">
        <v>9</v>
      </c>
      <c r="K18" s="13" t="n">
        <v>9</v>
      </c>
      <c r="L18" s="13" t="n">
        <v>10</v>
      </c>
      <c r="M18" s="14" t="n">
        <f aca="false">SUM(C18:L18)</f>
        <v>64</v>
      </c>
      <c r="N18" s="15" t="s">
        <v>70</v>
      </c>
    </row>
    <row r="19" customFormat="false" ht="21.75" hidden="false" customHeight="true" outlineLevel="0" collapsed="false">
      <c r="A19" s="11" t="n">
        <f aca="false">RANK(M19,$M$5:$M$22)</f>
        <v>8</v>
      </c>
      <c r="B19" s="12" t="s">
        <v>71</v>
      </c>
      <c r="C19" s="13" t="n">
        <v>4</v>
      </c>
      <c r="D19" s="13" t="n">
        <v>1</v>
      </c>
      <c r="E19" s="13" t="n">
        <v>6</v>
      </c>
      <c r="F19" s="13" t="n">
        <v>8</v>
      </c>
      <c r="G19" s="13" t="n">
        <v>5</v>
      </c>
      <c r="H19" s="13" t="n">
        <v>5</v>
      </c>
      <c r="I19" s="13" t="n">
        <v>10</v>
      </c>
      <c r="J19" s="13" t="n">
        <v>8</v>
      </c>
      <c r="K19" s="13" t="n">
        <v>10</v>
      </c>
      <c r="L19" s="13" t="n">
        <v>10</v>
      </c>
      <c r="M19" s="14" t="n">
        <f aca="false">SUM(C19:L19)</f>
        <v>67</v>
      </c>
      <c r="N19" s="15" t="s">
        <v>72</v>
      </c>
    </row>
    <row r="20" customFormat="false" ht="21.75" hidden="false" customHeight="true" outlineLevel="0" collapsed="false">
      <c r="A20" s="11" t="n">
        <f aca="false">RANK(M20,$M$5:$M$22)</f>
        <v>13</v>
      </c>
      <c r="B20" s="12" t="s">
        <v>73</v>
      </c>
      <c r="C20" s="13" t="n">
        <v>4</v>
      </c>
      <c r="D20" s="13" t="n">
        <v>2</v>
      </c>
      <c r="E20" s="13" t="n">
        <v>5</v>
      </c>
      <c r="F20" s="13" t="n">
        <v>3</v>
      </c>
      <c r="G20" s="13" t="n">
        <v>3</v>
      </c>
      <c r="H20" s="13" t="n">
        <v>4</v>
      </c>
      <c r="I20" s="13" t="n">
        <v>10</v>
      </c>
      <c r="J20" s="13" t="n">
        <v>8</v>
      </c>
      <c r="K20" s="13" t="n">
        <v>10</v>
      </c>
      <c r="L20" s="13" t="n">
        <v>10</v>
      </c>
      <c r="M20" s="14" t="n">
        <f aca="false">SUM(C20:L20)</f>
        <v>59</v>
      </c>
      <c r="N20" s="15" t="s">
        <v>74</v>
      </c>
    </row>
    <row r="21" customFormat="false" ht="21.75" hidden="false" customHeight="true" outlineLevel="0" collapsed="false">
      <c r="A21" s="11" t="n">
        <f aca="false">RANK(M21,$M$5:$M$22)</f>
        <v>12</v>
      </c>
      <c r="B21" s="12" t="s">
        <v>75</v>
      </c>
      <c r="C21" s="13" t="n">
        <v>5</v>
      </c>
      <c r="D21" s="13" t="n">
        <v>2</v>
      </c>
      <c r="E21" s="13" t="n">
        <v>6</v>
      </c>
      <c r="F21" s="13" t="n">
        <v>3</v>
      </c>
      <c r="G21" s="13" t="n">
        <v>3</v>
      </c>
      <c r="H21" s="13" t="n">
        <v>4</v>
      </c>
      <c r="I21" s="13" t="n">
        <v>10</v>
      </c>
      <c r="J21" s="13" t="n">
        <v>8</v>
      </c>
      <c r="K21" s="13" t="n">
        <v>10</v>
      </c>
      <c r="L21" s="13" t="n">
        <v>10</v>
      </c>
      <c r="M21" s="14" t="n">
        <f aca="false">SUM(C21:L21)</f>
        <v>61</v>
      </c>
      <c r="N21" s="15" t="s">
        <v>76</v>
      </c>
    </row>
    <row r="22" customFormat="false" ht="21.75" hidden="false" customHeight="true" outlineLevel="0" collapsed="false">
      <c r="A22" s="11" t="n">
        <f aca="false">RANK(M22,$M$5:$M$22)</f>
        <v>17</v>
      </c>
      <c r="B22" s="12" t="s">
        <v>77</v>
      </c>
      <c r="C22" s="13" t="n">
        <v>2</v>
      </c>
      <c r="D22" s="13" t="n">
        <v>1</v>
      </c>
      <c r="E22" s="13" t="n">
        <v>1</v>
      </c>
      <c r="F22" s="13" t="n">
        <v>5</v>
      </c>
      <c r="G22" s="13" t="n">
        <v>2</v>
      </c>
      <c r="H22" s="13" t="n">
        <v>1</v>
      </c>
      <c r="I22" s="13" t="n">
        <v>10</v>
      </c>
      <c r="J22" s="13" t="n">
        <v>9</v>
      </c>
      <c r="K22" s="13" t="n">
        <v>10</v>
      </c>
      <c r="L22" s="13" t="n">
        <v>10</v>
      </c>
      <c r="M22" s="14" t="n">
        <f aca="false">SUM(C22:L22)</f>
        <v>51</v>
      </c>
      <c r="N22" s="15" t="s">
        <v>78</v>
      </c>
    </row>
    <row r="25" customFormat="false" ht="15" hidden="false" customHeight="false" outlineLevel="0" collapsed="false">
      <c r="A25" s="3" t="s">
        <v>79</v>
      </c>
    </row>
    <row r="26" customFormat="false" ht="15" hidden="false" customHeight="false" outlineLevel="0" collapsed="false">
      <c r="A26" s="16" t="s">
        <v>80</v>
      </c>
      <c r="B26" s="8" t="s">
        <v>81</v>
      </c>
    </row>
    <row r="27" customFormat="false" ht="15" hidden="false" customHeight="false" outlineLevel="0" collapsed="false">
      <c r="A27" s="16" t="s">
        <v>82</v>
      </c>
      <c r="B27" s="8" t="s">
        <v>83</v>
      </c>
    </row>
    <row r="28" customFormat="false" ht="15" hidden="false" customHeight="false" outlineLevel="0" collapsed="false">
      <c r="A28" s="16" t="s">
        <v>84</v>
      </c>
      <c r="B28" s="8" t="s">
        <v>85</v>
      </c>
    </row>
    <row r="29" customFormat="false" ht="15" hidden="false" customHeight="false" outlineLevel="0" collapsed="false">
      <c r="A29" s="16" t="s">
        <v>86</v>
      </c>
      <c r="B29" s="8" t="s">
        <v>87</v>
      </c>
    </row>
    <row r="30" customFormat="false" ht="15" hidden="false" customHeight="false" outlineLevel="0" collapsed="false">
      <c r="A30" s="16" t="s">
        <v>88</v>
      </c>
      <c r="B30" s="8" t="s">
        <v>89</v>
      </c>
    </row>
  </sheetData>
  <mergeCells count="2">
    <mergeCell ref="A1:Q1"/>
    <mergeCell ref="A2:Q2"/>
  </mergeCells>
  <conditionalFormatting sqref="C5:L22">
    <cfRule type="colorScale" priority="2">
      <colorScale>
        <cfvo type="num" val="0"/>
        <cfvo type="num" val="5"/>
        <cfvo type="num" val="10"/>
        <color rgb="FFFEE2E2"/>
        <color rgb="FFFEF3C7"/>
        <color rgb="FFD1FAE5"/>
      </colorScale>
    </cfRule>
  </conditionalFormatting>
  <conditionalFormatting sqref="M5:M22">
    <cfRule type="colorScale" priority="3">
      <colorScale>
        <cfvo type="num" val="0"/>
        <cfvo type="num" val="50"/>
        <cfvo type="num" val="100"/>
        <color rgb="FFFEE2E2"/>
        <color rgb="FFFEF3C7"/>
        <color rgb="FFD1FAE5"/>
      </colorScale>
    </cfRule>
    <cfRule type="cellIs" priority="4" operator="greaterThanOrEqual" aboveAverage="0" equalAverage="0" bottom="0" percent="0" rank="0" text="" dxfId="0">
      <formula>80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24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2" min="12" style="0" width="60"/>
  </cols>
  <sheetData>
    <row r="1" customFormat="false" ht="25.5" hidden="false" customHeight="true" outlineLevel="0" collapsed="false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0" hidden="false" customHeight="true" outlineLevel="0" collapsed="false">
      <c r="A3" s="10" t="s">
        <v>30</v>
      </c>
      <c r="B3" s="10" t="s">
        <v>91</v>
      </c>
      <c r="C3" s="10" t="s">
        <v>92</v>
      </c>
      <c r="D3" s="10" t="s">
        <v>93</v>
      </c>
      <c r="E3" s="10" t="s">
        <v>94</v>
      </c>
      <c r="F3" s="10" t="s">
        <v>95</v>
      </c>
      <c r="G3" s="10" t="s">
        <v>96</v>
      </c>
      <c r="H3" s="10" t="s">
        <v>97</v>
      </c>
      <c r="I3" s="10" t="s">
        <v>98</v>
      </c>
      <c r="J3" s="10" t="s">
        <v>99</v>
      </c>
      <c r="K3" s="10" t="s">
        <v>100</v>
      </c>
      <c r="L3" s="10" t="s">
        <v>101</v>
      </c>
    </row>
    <row r="4" customFormat="false" ht="39.75" hidden="false" customHeight="true" outlineLevel="0" collapsed="false">
      <c r="A4" s="17" t="s">
        <v>43</v>
      </c>
      <c r="B4" s="13" t="n">
        <v>15</v>
      </c>
      <c r="C4" s="13" t="n">
        <v>1500</v>
      </c>
      <c r="D4" s="13" t="n">
        <v>250000</v>
      </c>
      <c r="E4" s="18" t="n">
        <v>1500000</v>
      </c>
      <c r="F4" s="18" t="n">
        <v>1000000</v>
      </c>
      <c r="G4" s="13" t="n">
        <v>8</v>
      </c>
      <c r="H4" s="19" t="s">
        <v>102</v>
      </c>
      <c r="I4" s="19" t="s">
        <v>103</v>
      </c>
      <c r="J4" s="19" t="s">
        <v>103</v>
      </c>
      <c r="K4" s="20" t="s">
        <v>104</v>
      </c>
      <c r="L4" s="19" t="s">
        <v>105</v>
      </c>
    </row>
    <row r="5" customFormat="false" ht="39.75" hidden="false" customHeight="true" outlineLevel="0" collapsed="false">
      <c r="A5" s="17" t="s">
        <v>45</v>
      </c>
      <c r="B5" s="13" t="n">
        <v>30</v>
      </c>
      <c r="C5" s="13" t="n">
        <v>14400</v>
      </c>
      <c r="D5" s="13" t="n">
        <v>30000</v>
      </c>
      <c r="E5" s="13"/>
      <c r="F5" s="18" t="n">
        <v>131072</v>
      </c>
      <c r="G5" s="13" t="n">
        <v>10</v>
      </c>
      <c r="H5" s="19" t="s">
        <v>106</v>
      </c>
      <c r="I5" s="19" t="s">
        <v>103</v>
      </c>
      <c r="J5" s="19" t="s">
        <v>103</v>
      </c>
      <c r="K5" s="20" t="s">
        <v>104</v>
      </c>
      <c r="L5" s="19" t="s">
        <v>107</v>
      </c>
    </row>
    <row r="6" customFormat="false" ht="39.75" hidden="false" customHeight="true" outlineLevel="0" collapsed="false">
      <c r="A6" s="17" t="s">
        <v>47</v>
      </c>
      <c r="B6" s="13" t="n">
        <v>30</v>
      </c>
      <c r="C6" s="13" t="n">
        <v>14400</v>
      </c>
      <c r="D6" s="13" t="n">
        <v>500000</v>
      </c>
      <c r="E6" s="18" t="n">
        <v>1000000</v>
      </c>
      <c r="F6" s="18" t="n">
        <v>1000000</v>
      </c>
      <c r="G6" s="13" t="n">
        <v>6</v>
      </c>
      <c r="H6" s="19" t="s">
        <v>108</v>
      </c>
      <c r="I6" s="19" t="s">
        <v>103</v>
      </c>
      <c r="J6" s="19" t="s">
        <v>103</v>
      </c>
      <c r="K6" s="20" t="s">
        <v>104</v>
      </c>
      <c r="L6" s="19" t="s">
        <v>109</v>
      </c>
    </row>
    <row r="7" customFormat="false" ht="39.75" hidden="false" customHeight="true" outlineLevel="0" collapsed="false">
      <c r="A7" s="17" t="s">
        <v>49</v>
      </c>
      <c r="B7" s="13" t="n">
        <v>20</v>
      </c>
      <c r="C7" s="13" t="n">
        <v>1000</v>
      </c>
      <c r="D7" s="13"/>
      <c r="E7" s="18" t="n">
        <v>1000000000</v>
      </c>
      <c r="F7" s="18" t="n">
        <v>256000</v>
      </c>
      <c r="G7" s="13" t="n">
        <v>4</v>
      </c>
      <c r="H7" s="19" t="s">
        <v>110</v>
      </c>
      <c r="I7" s="19" t="s">
        <v>103</v>
      </c>
      <c r="J7" s="19" t="s">
        <v>103</v>
      </c>
      <c r="K7" s="20" t="s">
        <v>104</v>
      </c>
      <c r="L7" s="19" t="s">
        <v>111</v>
      </c>
    </row>
    <row r="8" customFormat="false" ht="39.75" hidden="false" customHeight="true" outlineLevel="0" collapsed="false">
      <c r="A8" s="17" t="s">
        <v>51</v>
      </c>
      <c r="B8" s="13" t="n">
        <v>20</v>
      </c>
      <c r="C8" s="13" t="n">
        <v>50</v>
      </c>
      <c r="D8" s="13"/>
      <c r="E8" s="13"/>
      <c r="F8" s="18" t="n">
        <v>1000000</v>
      </c>
      <c r="G8" s="13" t="n">
        <v>25</v>
      </c>
      <c r="H8" s="19" t="s">
        <v>112</v>
      </c>
      <c r="I8" s="19" t="s">
        <v>103</v>
      </c>
      <c r="J8" s="19" t="s">
        <v>103</v>
      </c>
      <c r="K8" s="20" t="s">
        <v>104</v>
      </c>
      <c r="L8" s="19" t="s">
        <v>113</v>
      </c>
    </row>
    <row r="9" customFormat="false" ht="39.75" hidden="false" customHeight="true" outlineLevel="0" collapsed="false">
      <c r="A9" s="17" t="s">
        <v>53</v>
      </c>
      <c r="B9" s="13" t="n">
        <v>300</v>
      </c>
      <c r="C9" s="13" t="n">
        <v>10000</v>
      </c>
      <c r="D9" s="13"/>
      <c r="E9" s="13" t="n">
        <v>10000</v>
      </c>
      <c r="F9" s="18" t="n">
        <v>131000</v>
      </c>
      <c r="G9" s="13" t="n">
        <v>49</v>
      </c>
      <c r="H9" s="19" t="s">
        <v>106</v>
      </c>
      <c r="I9" s="19" t="s">
        <v>103</v>
      </c>
      <c r="J9" s="19" t="s">
        <v>103</v>
      </c>
      <c r="K9" s="20" t="s">
        <v>104</v>
      </c>
      <c r="L9" s="19" t="s">
        <v>114</v>
      </c>
    </row>
    <row r="10" customFormat="false" ht="39.75" hidden="false" customHeight="true" outlineLevel="0" collapsed="false">
      <c r="A10" s="17" t="s">
        <v>55</v>
      </c>
      <c r="B10" s="13" t="n">
        <v>15</v>
      </c>
      <c r="C10" s="13" t="n">
        <v>150</v>
      </c>
      <c r="D10" s="13"/>
      <c r="E10" s="13"/>
      <c r="F10" s="18" t="n">
        <v>200000</v>
      </c>
      <c r="G10" s="13" t="n">
        <v>45</v>
      </c>
      <c r="H10" s="19" t="s">
        <v>115</v>
      </c>
      <c r="I10" s="19" t="s">
        <v>103</v>
      </c>
      <c r="J10" s="19" t="s">
        <v>103</v>
      </c>
      <c r="K10" s="20" t="s">
        <v>104</v>
      </c>
      <c r="L10" s="19" t="s">
        <v>116</v>
      </c>
    </row>
    <row r="11" customFormat="false" ht="39.75" hidden="false" customHeight="true" outlineLevel="0" collapsed="false">
      <c r="A11" s="17" t="s">
        <v>57</v>
      </c>
      <c r="B11" s="13" t="n">
        <v>20</v>
      </c>
      <c r="C11" s="13" t="n">
        <v>100</v>
      </c>
      <c r="D11" s="13"/>
      <c r="E11" s="13" t="n">
        <v>1000</v>
      </c>
      <c r="F11" s="18" t="n">
        <v>128000</v>
      </c>
      <c r="G11" s="13" t="n">
        <v>2</v>
      </c>
      <c r="H11" s="19" t="s">
        <v>117</v>
      </c>
      <c r="I11" s="19" t="s">
        <v>103</v>
      </c>
      <c r="J11" s="19" t="s">
        <v>103</v>
      </c>
      <c r="K11" s="21" t="s">
        <v>118</v>
      </c>
      <c r="L11" s="19" t="s">
        <v>119</v>
      </c>
    </row>
    <row r="12" customFormat="false" ht="39.75" hidden="false" customHeight="true" outlineLevel="0" collapsed="false">
      <c r="A12" s="17" t="s">
        <v>59</v>
      </c>
      <c r="B12" s="13" t="n">
        <v>10</v>
      </c>
      <c r="C12" s="13" t="n">
        <v>100</v>
      </c>
      <c r="D12" s="13"/>
      <c r="E12" s="13" t="n">
        <v>100000</v>
      </c>
      <c r="F12" s="18" t="n">
        <v>200000</v>
      </c>
      <c r="G12" s="13" t="n">
        <v>200</v>
      </c>
      <c r="H12" s="19" t="s">
        <v>120</v>
      </c>
      <c r="I12" s="19" t="s">
        <v>103</v>
      </c>
      <c r="J12" s="19" t="s">
        <v>103</v>
      </c>
      <c r="K12" s="22" t="s">
        <v>121</v>
      </c>
      <c r="L12" s="19" t="s">
        <v>122</v>
      </c>
    </row>
    <row r="13" customFormat="false" ht="39.75" hidden="false" customHeight="true" outlineLevel="0" collapsed="false">
      <c r="A13" s="17" t="s">
        <v>61</v>
      </c>
      <c r="B13" s="13" t="n">
        <v>40</v>
      </c>
      <c r="C13" s="13" t="n">
        <v>1000</v>
      </c>
      <c r="D13" s="13"/>
      <c r="E13" s="13"/>
      <c r="F13" s="18" t="n">
        <v>128000</v>
      </c>
      <c r="G13" s="13" t="n">
        <v>100</v>
      </c>
      <c r="H13" s="19" t="s">
        <v>123</v>
      </c>
      <c r="I13" s="19" t="s">
        <v>103</v>
      </c>
      <c r="J13" s="19" t="s">
        <v>103</v>
      </c>
      <c r="K13" s="23" t="s">
        <v>124</v>
      </c>
      <c r="L13" s="19" t="s">
        <v>125</v>
      </c>
    </row>
    <row r="14" customFormat="false" ht="39.75" hidden="false" customHeight="true" outlineLevel="0" collapsed="false">
      <c r="A14" s="17" t="s">
        <v>63</v>
      </c>
      <c r="B14" s="13" t="n">
        <v>5</v>
      </c>
      <c r="C14" s="13" t="n">
        <v>100</v>
      </c>
      <c r="D14" s="13"/>
      <c r="E14" s="13"/>
      <c r="F14" s="18" t="n">
        <v>200000</v>
      </c>
      <c r="G14" s="13" t="n">
        <v>3</v>
      </c>
      <c r="H14" s="19" t="s">
        <v>126</v>
      </c>
      <c r="I14" s="19" t="s">
        <v>103</v>
      </c>
      <c r="J14" s="19" t="s">
        <v>103</v>
      </c>
      <c r="K14" s="22" t="s">
        <v>127</v>
      </c>
      <c r="L14" s="19" t="s">
        <v>128</v>
      </c>
    </row>
    <row r="15" customFormat="false" ht="39.75" hidden="false" customHeight="true" outlineLevel="0" collapsed="false">
      <c r="A15" s="17" t="s">
        <v>65</v>
      </c>
      <c r="B15" s="13" t="n">
        <v>5</v>
      </c>
      <c r="C15" s="13" t="n">
        <v>200</v>
      </c>
      <c r="D15" s="13"/>
      <c r="E15" s="13"/>
      <c r="F15" s="18" t="n">
        <v>262000</v>
      </c>
      <c r="G15" s="13" t="n">
        <v>6</v>
      </c>
      <c r="H15" s="19" t="s">
        <v>129</v>
      </c>
      <c r="I15" s="19" t="s">
        <v>103</v>
      </c>
      <c r="J15" s="19" t="s">
        <v>130</v>
      </c>
      <c r="K15" s="22" t="s">
        <v>121</v>
      </c>
      <c r="L15" s="19" t="s">
        <v>131</v>
      </c>
    </row>
    <row r="16" customFormat="false" ht="39.75" hidden="false" customHeight="true" outlineLevel="0" collapsed="false">
      <c r="A16" s="17" t="s">
        <v>67</v>
      </c>
      <c r="B16" s="13" t="n">
        <v>4</v>
      </c>
      <c r="C16" s="13"/>
      <c r="D16" s="13"/>
      <c r="E16" s="13"/>
      <c r="F16" s="18" t="n">
        <v>128000</v>
      </c>
      <c r="G16" s="13" t="n">
        <v>8</v>
      </c>
      <c r="H16" s="19" t="s">
        <v>132</v>
      </c>
      <c r="I16" s="19" t="s">
        <v>103</v>
      </c>
      <c r="J16" s="19" t="s">
        <v>130</v>
      </c>
      <c r="K16" s="22" t="s">
        <v>133</v>
      </c>
      <c r="L16" s="19" t="s">
        <v>134</v>
      </c>
    </row>
    <row r="17" customFormat="false" ht="39.75" hidden="false" customHeight="true" outlineLevel="0" collapsed="false">
      <c r="A17" s="17" t="s">
        <v>69</v>
      </c>
      <c r="B17" s="13" t="n">
        <v>30</v>
      </c>
      <c r="C17" s="13" t="n">
        <v>100</v>
      </c>
      <c r="D17" s="13"/>
      <c r="E17" s="18" t="n">
        <v>1000000</v>
      </c>
      <c r="F17" s="18" t="n">
        <v>128000</v>
      </c>
      <c r="G17" s="13" t="n">
        <v>8</v>
      </c>
      <c r="H17" s="19" t="s">
        <v>135</v>
      </c>
      <c r="I17" s="19" t="s">
        <v>103</v>
      </c>
      <c r="J17" s="19" t="s">
        <v>130</v>
      </c>
      <c r="K17" s="22" t="s">
        <v>121</v>
      </c>
      <c r="L17" s="19" t="s">
        <v>136</v>
      </c>
    </row>
    <row r="18" customFormat="false" ht="39.75" hidden="false" customHeight="true" outlineLevel="0" collapsed="false">
      <c r="A18" s="17" t="s">
        <v>71</v>
      </c>
      <c r="B18" s="13" t="n">
        <v>2</v>
      </c>
      <c r="C18" s="13"/>
      <c r="D18" s="13"/>
      <c r="E18" s="13"/>
      <c r="F18" s="18" t="n">
        <v>128000</v>
      </c>
      <c r="G18" s="13" t="n">
        <v>40</v>
      </c>
      <c r="H18" s="19" t="s">
        <v>137</v>
      </c>
      <c r="I18" s="19" t="s">
        <v>103</v>
      </c>
      <c r="J18" s="19" t="s">
        <v>130</v>
      </c>
      <c r="K18" s="21" t="s">
        <v>138</v>
      </c>
      <c r="L18" s="19" t="s">
        <v>139</v>
      </c>
    </row>
    <row r="19" customFormat="false" ht="39.75" hidden="false" customHeight="true" outlineLevel="0" collapsed="false">
      <c r="A19" s="17" t="s">
        <v>73</v>
      </c>
      <c r="B19" s="13" t="n">
        <v>4</v>
      </c>
      <c r="C19" s="13" t="n">
        <v>200</v>
      </c>
      <c r="D19" s="13"/>
      <c r="E19" s="13"/>
      <c r="F19" s="18" t="n">
        <v>128000</v>
      </c>
      <c r="G19" s="13" t="n">
        <v>5</v>
      </c>
      <c r="H19" s="19" t="s">
        <v>140</v>
      </c>
      <c r="I19" s="19" t="s">
        <v>103</v>
      </c>
      <c r="J19" s="19" t="s">
        <v>130</v>
      </c>
      <c r="K19" s="22" t="s">
        <v>133</v>
      </c>
      <c r="L19" s="19" t="s">
        <v>141</v>
      </c>
    </row>
    <row r="20" customFormat="false" ht="39.75" hidden="false" customHeight="true" outlineLevel="0" collapsed="false">
      <c r="A20" s="17" t="s">
        <v>75</v>
      </c>
      <c r="B20" s="13" t="n">
        <v>5</v>
      </c>
      <c r="C20" s="13" t="n">
        <v>200</v>
      </c>
      <c r="D20" s="13"/>
      <c r="E20" s="13"/>
      <c r="F20" s="18" t="n">
        <v>128000</v>
      </c>
      <c r="G20" s="13" t="n">
        <v>6</v>
      </c>
      <c r="H20" s="19" t="s">
        <v>142</v>
      </c>
      <c r="I20" s="19" t="s">
        <v>103</v>
      </c>
      <c r="J20" s="19" t="s">
        <v>130</v>
      </c>
      <c r="K20" s="21" t="s">
        <v>143</v>
      </c>
      <c r="L20" s="19" t="s">
        <v>144</v>
      </c>
    </row>
    <row r="21" customFormat="false" ht="39.75" hidden="false" customHeight="true" outlineLevel="0" collapsed="false">
      <c r="A21" s="17" t="s">
        <v>77</v>
      </c>
      <c r="B21" s="13" t="n">
        <v>1</v>
      </c>
      <c r="C21" s="13"/>
      <c r="D21" s="13"/>
      <c r="E21" s="13"/>
      <c r="F21" s="18" t="n">
        <v>4096</v>
      </c>
      <c r="G21" s="13" t="n">
        <v>20</v>
      </c>
      <c r="H21" s="19" t="s">
        <v>145</v>
      </c>
      <c r="I21" s="19" t="s">
        <v>103</v>
      </c>
      <c r="J21" s="19" t="s">
        <v>130</v>
      </c>
      <c r="K21" s="23" t="s">
        <v>146</v>
      </c>
      <c r="L21" s="19" t="s">
        <v>147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50"/>
  </cols>
  <sheetData>
    <row r="1" customFormat="false" ht="25.5" hidden="false" customHeight="true" outlineLevel="0" collapsed="false">
      <c r="A1" s="1" t="s">
        <v>148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4" t="s">
        <v>149</v>
      </c>
      <c r="B2" s="24"/>
      <c r="C2" s="24"/>
      <c r="D2" s="24"/>
      <c r="E2" s="24"/>
      <c r="F2" s="24"/>
      <c r="G2" s="24"/>
      <c r="H2" s="24"/>
      <c r="I2" s="24"/>
    </row>
    <row r="4" customFormat="false" ht="27.75" hidden="false" customHeight="true" outlineLevel="0" collapsed="false">
      <c r="A4" s="10" t="s">
        <v>150</v>
      </c>
      <c r="B4" s="10" t="s">
        <v>151</v>
      </c>
      <c r="C4" s="10" t="s">
        <v>152</v>
      </c>
      <c r="D4" s="10" t="s">
        <v>153</v>
      </c>
      <c r="E4" s="10" t="s">
        <v>154</v>
      </c>
      <c r="F4" s="10" t="s">
        <v>155</v>
      </c>
      <c r="G4" s="10" t="s">
        <v>156</v>
      </c>
      <c r="H4" s="10" t="s">
        <v>42</v>
      </c>
      <c r="I4" s="10" t="s">
        <v>157</v>
      </c>
    </row>
    <row r="5" customFormat="false" ht="27.75" hidden="false" customHeight="true" outlineLevel="0" collapsed="false">
      <c r="A5" s="17" t="s">
        <v>158</v>
      </c>
      <c r="B5" s="19" t="s">
        <v>159</v>
      </c>
      <c r="C5" s="18" t="n">
        <v>109000000000</v>
      </c>
      <c r="D5" s="18" t="n">
        <v>17000000000</v>
      </c>
      <c r="E5" s="18" t="n">
        <v>10000000</v>
      </c>
      <c r="F5" s="19" t="s">
        <v>160</v>
      </c>
      <c r="G5" s="25" t="s">
        <v>161</v>
      </c>
      <c r="H5" s="19" t="s">
        <v>162</v>
      </c>
      <c r="I5" s="19" t="s">
        <v>163</v>
      </c>
    </row>
    <row r="6" customFormat="false" ht="27.75" hidden="false" customHeight="true" outlineLevel="0" collapsed="false">
      <c r="A6" s="17" t="s">
        <v>164</v>
      </c>
      <c r="B6" s="19" t="s">
        <v>159</v>
      </c>
      <c r="C6" s="18" t="n">
        <v>400000000000</v>
      </c>
      <c r="D6" s="18" t="n">
        <v>17000000000</v>
      </c>
      <c r="E6" s="18" t="n">
        <v>1000000</v>
      </c>
      <c r="F6" s="19" t="s">
        <v>160</v>
      </c>
      <c r="G6" s="25" t="s">
        <v>161</v>
      </c>
      <c r="H6" s="19" t="s">
        <v>165</v>
      </c>
      <c r="I6" s="19" t="s">
        <v>166</v>
      </c>
    </row>
    <row r="7" customFormat="false" ht="27.75" hidden="false" customHeight="true" outlineLevel="0" collapsed="false">
      <c r="A7" s="17" t="s">
        <v>106</v>
      </c>
      <c r="B7" s="19" t="s">
        <v>167</v>
      </c>
      <c r="C7" s="18" t="n">
        <v>70000000000</v>
      </c>
      <c r="D7" s="18" t="n">
        <v>70000000000</v>
      </c>
      <c r="E7" s="18" t="n">
        <v>128000</v>
      </c>
      <c r="F7" s="19" t="s">
        <v>168</v>
      </c>
      <c r="G7" s="25" t="s">
        <v>161</v>
      </c>
      <c r="H7" s="19" t="s">
        <v>169</v>
      </c>
      <c r="I7" s="19" t="s">
        <v>170</v>
      </c>
    </row>
    <row r="8" customFormat="false" ht="27.75" hidden="false" customHeight="true" outlineLevel="0" collapsed="false">
      <c r="A8" s="17" t="s">
        <v>171</v>
      </c>
      <c r="B8" s="19" t="s">
        <v>167</v>
      </c>
      <c r="C8" s="18" t="n">
        <v>405000000000</v>
      </c>
      <c r="D8" s="18" t="n">
        <v>405000000000</v>
      </c>
      <c r="E8" s="18" t="n">
        <v>128000</v>
      </c>
      <c r="F8" s="19" t="s">
        <v>172</v>
      </c>
      <c r="G8" s="25" t="s">
        <v>161</v>
      </c>
      <c r="H8" s="19" t="s">
        <v>173</v>
      </c>
      <c r="I8" s="19" t="s">
        <v>174</v>
      </c>
    </row>
    <row r="9" customFormat="false" ht="27.75" hidden="false" customHeight="true" outlineLevel="0" collapsed="false">
      <c r="A9" s="17" t="s">
        <v>175</v>
      </c>
      <c r="B9" s="19" t="s">
        <v>176</v>
      </c>
      <c r="C9" s="18" t="n">
        <v>235000000000</v>
      </c>
      <c r="D9" s="18" t="n">
        <v>22000000000</v>
      </c>
      <c r="E9" s="18" t="n">
        <v>128000</v>
      </c>
      <c r="F9" s="19" t="s">
        <v>177</v>
      </c>
      <c r="G9" s="25" t="s">
        <v>161</v>
      </c>
      <c r="H9" s="19" t="s">
        <v>178</v>
      </c>
      <c r="I9" s="19" t="s">
        <v>179</v>
      </c>
    </row>
    <row r="10" customFormat="false" ht="27.75" hidden="false" customHeight="true" outlineLevel="0" collapsed="false">
      <c r="A10" s="17" t="s">
        <v>180</v>
      </c>
      <c r="B10" s="19" t="s">
        <v>176</v>
      </c>
      <c r="C10" s="18" t="n">
        <v>235000000000</v>
      </c>
      <c r="D10" s="18" t="n">
        <v>22000000000</v>
      </c>
      <c r="E10" s="18" t="n">
        <v>256000</v>
      </c>
      <c r="F10" s="19" t="s">
        <v>177</v>
      </c>
      <c r="G10" s="25" t="s">
        <v>161</v>
      </c>
      <c r="H10" s="19" t="s">
        <v>181</v>
      </c>
      <c r="I10" s="19" t="s">
        <v>182</v>
      </c>
    </row>
    <row r="11" customFormat="false" ht="27.75" hidden="false" customHeight="true" outlineLevel="0" collapsed="false">
      <c r="A11" s="17" t="s">
        <v>112</v>
      </c>
      <c r="B11" s="19" t="s">
        <v>176</v>
      </c>
      <c r="C11" s="18" t="n">
        <v>480000000000</v>
      </c>
      <c r="D11" s="18" t="n">
        <v>35000000000</v>
      </c>
      <c r="E11" s="18" t="n">
        <v>256000</v>
      </c>
      <c r="F11" s="19" t="s">
        <v>177</v>
      </c>
      <c r="G11" s="25" t="s">
        <v>161</v>
      </c>
      <c r="H11" s="19" t="s">
        <v>183</v>
      </c>
      <c r="I11" s="19" t="s">
        <v>184</v>
      </c>
    </row>
    <row r="12" customFormat="false" ht="27.75" hidden="false" customHeight="true" outlineLevel="0" collapsed="false">
      <c r="A12" s="17" t="s">
        <v>185</v>
      </c>
      <c r="B12" s="19" t="s">
        <v>176</v>
      </c>
      <c r="C12" s="18" t="n">
        <v>32000000000</v>
      </c>
      <c r="D12" s="18" t="n">
        <v>32000000000</v>
      </c>
      <c r="E12" s="18" t="n">
        <v>128000</v>
      </c>
      <c r="F12" s="19" t="s">
        <v>177</v>
      </c>
      <c r="G12" s="25" t="s">
        <v>161</v>
      </c>
      <c r="H12" s="19" t="s">
        <v>186</v>
      </c>
      <c r="I12" s="19" t="s">
        <v>187</v>
      </c>
    </row>
    <row r="13" customFormat="false" ht="27.75" hidden="false" customHeight="true" outlineLevel="0" collapsed="false">
      <c r="A13" s="17" t="s">
        <v>188</v>
      </c>
      <c r="B13" s="19" t="s">
        <v>189</v>
      </c>
      <c r="C13" s="18" t="n">
        <v>671000000000</v>
      </c>
      <c r="D13" s="18" t="n">
        <v>37000000000</v>
      </c>
      <c r="E13" s="18" t="n">
        <v>128000</v>
      </c>
      <c r="F13" s="19" t="s">
        <v>190</v>
      </c>
      <c r="G13" s="25" t="s">
        <v>161</v>
      </c>
      <c r="H13" s="19" t="s">
        <v>191</v>
      </c>
      <c r="I13" s="19" t="s">
        <v>192</v>
      </c>
    </row>
    <row r="14" customFormat="false" ht="27.75" hidden="false" customHeight="true" outlineLevel="0" collapsed="false">
      <c r="A14" s="17" t="s">
        <v>193</v>
      </c>
      <c r="B14" s="19" t="s">
        <v>189</v>
      </c>
      <c r="C14" s="18" t="n">
        <v>671000000000</v>
      </c>
      <c r="D14" s="18" t="n">
        <v>37000000000</v>
      </c>
      <c r="E14" s="18" t="n">
        <v>128000</v>
      </c>
      <c r="F14" s="19" t="s">
        <v>194</v>
      </c>
      <c r="G14" s="26" t="s">
        <v>195</v>
      </c>
      <c r="H14" s="19" t="s">
        <v>196</v>
      </c>
      <c r="I14" s="19" t="s">
        <v>192</v>
      </c>
    </row>
    <row r="15" customFormat="false" ht="27.75" hidden="false" customHeight="true" outlineLevel="0" collapsed="false">
      <c r="A15" s="17" t="s">
        <v>197</v>
      </c>
      <c r="B15" s="19" t="s">
        <v>189</v>
      </c>
      <c r="C15" s="18" t="n">
        <v>671000000000</v>
      </c>
      <c r="D15" s="18" t="n">
        <v>37000000000</v>
      </c>
      <c r="E15" s="18" t="n">
        <v>128000</v>
      </c>
      <c r="F15" s="19" t="s">
        <v>190</v>
      </c>
      <c r="G15" s="25" t="s">
        <v>161</v>
      </c>
      <c r="H15" s="19" t="s">
        <v>198</v>
      </c>
      <c r="I15" s="19" t="s">
        <v>192</v>
      </c>
    </row>
    <row r="16" customFormat="false" ht="27.75" hidden="false" customHeight="true" outlineLevel="0" collapsed="false">
      <c r="A16" s="17" t="s">
        <v>199</v>
      </c>
      <c r="B16" s="19" t="s">
        <v>189</v>
      </c>
      <c r="C16" s="18" t="n">
        <v>1600000000000</v>
      </c>
      <c r="D16" s="18" t="n">
        <v>49000000000</v>
      </c>
      <c r="E16" s="18" t="n">
        <v>1000000</v>
      </c>
      <c r="F16" s="19" t="s">
        <v>190</v>
      </c>
      <c r="G16" s="25" t="s">
        <v>161</v>
      </c>
      <c r="H16" s="19" t="s">
        <v>200</v>
      </c>
      <c r="I16" s="19" t="s">
        <v>201</v>
      </c>
    </row>
    <row r="17" customFormat="false" ht="27.75" hidden="false" customHeight="true" outlineLevel="0" collapsed="false">
      <c r="A17" s="17" t="s">
        <v>142</v>
      </c>
      <c r="B17" s="19" t="s">
        <v>189</v>
      </c>
      <c r="C17" s="18" t="n">
        <v>284000000000</v>
      </c>
      <c r="D17" s="18" t="n">
        <v>13000000000</v>
      </c>
      <c r="E17" s="18" t="n">
        <v>1000000</v>
      </c>
      <c r="F17" s="19" t="s">
        <v>190</v>
      </c>
      <c r="G17" s="25" t="s">
        <v>161</v>
      </c>
      <c r="H17" s="19" t="s">
        <v>202</v>
      </c>
      <c r="I17" s="19" t="s">
        <v>203</v>
      </c>
    </row>
    <row r="18" customFormat="false" ht="27.75" hidden="false" customHeight="true" outlineLevel="0" collapsed="false">
      <c r="A18" s="17" t="s">
        <v>110</v>
      </c>
      <c r="B18" s="19" t="s">
        <v>49</v>
      </c>
      <c r="C18" s="18" t="n">
        <v>675000000000</v>
      </c>
      <c r="D18" s="18" t="n">
        <v>123000000000</v>
      </c>
      <c r="E18" s="18" t="n">
        <v>256000</v>
      </c>
      <c r="F18" s="19" t="s">
        <v>204</v>
      </c>
      <c r="G18" s="25" t="s">
        <v>161</v>
      </c>
      <c r="H18" s="19" t="s">
        <v>205</v>
      </c>
      <c r="I18" s="19" t="s">
        <v>206</v>
      </c>
    </row>
    <row r="19" customFormat="false" ht="27.75" hidden="false" customHeight="true" outlineLevel="0" collapsed="false">
      <c r="A19" s="17" t="s">
        <v>207</v>
      </c>
      <c r="B19" s="19" t="s">
        <v>49</v>
      </c>
      <c r="C19" s="18" t="n">
        <v>141000000000</v>
      </c>
      <c r="D19" s="18" t="n">
        <v>44000000000</v>
      </c>
      <c r="E19" s="18" t="n">
        <v>64000</v>
      </c>
      <c r="F19" s="19" t="s">
        <v>177</v>
      </c>
      <c r="G19" s="25" t="s">
        <v>161</v>
      </c>
      <c r="H19" s="19" t="s">
        <v>208</v>
      </c>
      <c r="I19" s="19" t="s">
        <v>209</v>
      </c>
    </row>
    <row r="20" customFormat="false" ht="27.75" hidden="false" customHeight="true" outlineLevel="0" collapsed="false">
      <c r="A20" s="17" t="s">
        <v>210</v>
      </c>
      <c r="B20" s="19" t="s">
        <v>49</v>
      </c>
      <c r="C20" s="18" t="n">
        <v>24000000000</v>
      </c>
      <c r="D20" s="18" t="n">
        <v>24000000000</v>
      </c>
      <c r="E20" s="18" t="n">
        <v>128000</v>
      </c>
      <c r="F20" s="19" t="s">
        <v>177</v>
      </c>
      <c r="G20" s="25" t="s">
        <v>161</v>
      </c>
      <c r="H20" s="19" t="s">
        <v>211</v>
      </c>
      <c r="I20" s="19" t="s">
        <v>212</v>
      </c>
    </row>
    <row r="21" customFormat="false" ht="27.75" hidden="false" customHeight="true" outlineLevel="0" collapsed="false">
      <c r="A21" s="17" t="s">
        <v>213</v>
      </c>
      <c r="B21" s="19" t="s">
        <v>214</v>
      </c>
      <c r="C21" s="18" t="n">
        <v>27000000000</v>
      </c>
      <c r="D21" s="18" t="n">
        <v>27000000000</v>
      </c>
      <c r="E21" s="18" t="n">
        <v>128000</v>
      </c>
      <c r="F21" s="19" t="s">
        <v>215</v>
      </c>
      <c r="G21" s="25" t="s">
        <v>161</v>
      </c>
      <c r="H21" s="19" t="s">
        <v>216</v>
      </c>
      <c r="I21" s="19" t="s">
        <v>217</v>
      </c>
    </row>
    <row r="22" customFormat="false" ht="27.75" hidden="false" customHeight="true" outlineLevel="0" collapsed="false">
      <c r="A22" s="17" t="s">
        <v>218</v>
      </c>
      <c r="B22" s="19" t="s">
        <v>219</v>
      </c>
      <c r="C22" s="18" t="n">
        <v>355000000000</v>
      </c>
      <c r="D22" s="18" t="n">
        <v>32000000000</v>
      </c>
      <c r="E22" s="18" t="n">
        <v>128000</v>
      </c>
      <c r="F22" s="19" t="s">
        <v>220</v>
      </c>
      <c r="G22" s="25" t="s">
        <v>161</v>
      </c>
      <c r="H22" s="19" t="s">
        <v>221</v>
      </c>
      <c r="I22" s="19" t="s">
        <v>222</v>
      </c>
    </row>
    <row r="23" customFormat="false" ht="27.75" hidden="false" customHeight="true" outlineLevel="0" collapsed="false">
      <c r="A23" s="17" t="s">
        <v>223</v>
      </c>
      <c r="B23" s="19" t="s">
        <v>219</v>
      </c>
      <c r="C23" s="18"/>
      <c r="D23" s="18"/>
      <c r="E23" s="18" t="n">
        <v>128000</v>
      </c>
      <c r="F23" s="19" t="s">
        <v>220</v>
      </c>
      <c r="G23" s="25" t="s">
        <v>161</v>
      </c>
      <c r="H23" s="19" t="s">
        <v>224</v>
      </c>
      <c r="I23" s="19" t="s">
        <v>225</v>
      </c>
    </row>
    <row r="24" customFormat="false" ht="27.75" hidden="false" customHeight="true" outlineLevel="0" collapsed="false">
      <c r="A24" s="17" t="s">
        <v>226</v>
      </c>
      <c r="B24" s="19" t="s">
        <v>219</v>
      </c>
      <c r="C24" s="18"/>
      <c r="D24" s="18"/>
      <c r="E24" s="18" t="n">
        <v>200000</v>
      </c>
      <c r="F24" s="19" t="s">
        <v>220</v>
      </c>
      <c r="G24" s="25" t="s">
        <v>161</v>
      </c>
      <c r="H24" s="19" t="s">
        <v>227</v>
      </c>
      <c r="I24" s="19" t="s">
        <v>228</v>
      </c>
    </row>
    <row r="25" customFormat="false" ht="27.75" hidden="false" customHeight="true" outlineLevel="0" collapsed="false">
      <c r="A25" s="17" t="s">
        <v>229</v>
      </c>
      <c r="B25" s="19" t="s">
        <v>230</v>
      </c>
      <c r="C25" s="18" t="n">
        <v>1000000000000</v>
      </c>
      <c r="D25" s="18" t="n">
        <v>32000000000</v>
      </c>
      <c r="E25" s="18" t="n">
        <v>262000</v>
      </c>
      <c r="F25" s="19" t="s">
        <v>231</v>
      </c>
      <c r="G25" s="25" t="s">
        <v>161</v>
      </c>
      <c r="H25" s="19" t="s">
        <v>232</v>
      </c>
      <c r="I25" s="19" t="s">
        <v>233</v>
      </c>
    </row>
    <row r="26" customFormat="false" ht="27.75" hidden="false" customHeight="true" outlineLevel="0" collapsed="false">
      <c r="A26" s="17" t="s">
        <v>234</v>
      </c>
      <c r="B26" s="19" t="s">
        <v>57</v>
      </c>
      <c r="C26" s="18" t="n">
        <v>104000000000</v>
      </c>
      <c r="D26" s="18" t="n">
        <v>16000000000</v>
      </c>
      <c r="E26" s="18" t="n">
        <v>128000</v>
      </c>
      <c r="F26" s="19" t="s">
        <v>235</v>
      </c>
      <c r="G26" s="25" t="s">
        <v>161</v>
      </c>
      <c r="H26" s="19" t="s">
        <v>236</v>
      </c>
      <c r="I26" s="19" t="s">
        <v>237</v>
      </c>
    </row>
    <row r="27" customFormat="false" ht="27.75" hidden="false" customHeight="true" outlineLevel="0" collapsed="false">
      <c r="A27" s="17" t="s">
        <v>238</v>
      </c>
      <c r="B27" s="19" t="s">
        <v>239</v>
      </c>
      <c r="C27" s="18" t="n">
        <v>14000000000</v>
      </c>
      <c r="D27" s="18" t="n">
        <v>14000000000</v>
      </c>
      <c r="E27" s="18" t="n">
        <v>16000</v>
      </c>
      <c r="F27" s="19" t="s">
        <v>194</v>
      </c>
      <c r="G27" s="26" t="s">
        <v>195</v>
      </c>
      <c r="H27" s="19" t="s">
        <v>240</v>
      </c>
      <c r="I27" s="19" t="s">
        <v>241</v>
      </c>
    </row>
    <row r="28" customFormat="false" ht="27.75" hidden="false" customHeight="true" outlineLevel="0" collapsed="false">
      <c r="A28" s="17" t="s">
        <v>242</v>
      </c>
      <c r="B28" s="19" t="s">
        <v>243</v>
      </c>
      <c r="C28" s="18" t="n">
        <v>32000000000</v>
      </c>
      <c r="D28" s="18" t="n">
        <v>32000000000</v>
      </c>
      <c r="E28" s="18" t="n">
        <v>4000</v>
      </c>
      <c r="F28" s="19" t="s">
        <v>177</v>
      </c>
      <c r="G28" s="26" t="s">
        <v>195</v>
      </c>
      <c r="H28" s="19" t="s">
        <v>244</v>
      </c>
      <c r="I28" s="19" t="s">
        <v>245</v>
      </c>
    </row>
    <row r="29" customFormat="false" ht="27.75" hidden="false" customHeight="true" outlineLevel="0" collapsed="false">
      <c r="A29" s="17" t="s">
        <v>246</v>
      </c>
      <c r="B29" s="19" t="s">
        <v>247</v>
      </c>
      <c r="C29" s="18" t="n">
        <v>7000000000</v>
      </c>
      <c r="D29" s="18" t="n">
        <v>7000000000</v>
      </c>
      <c r="E29" s="18" t="n">
        <v>16000</v>
      </c>
      <c r="F29" s="19" t="s">
        <v>177</v>
      </c>
      <c r="G29" s="26" t="s">
        <v>195</v>
      </c>
      <c r="H29" s="19" t="s">
        <v>248</v>
      </c>
      <c r="I29" s="19" t="s">
        <v>245</v>
      </c>
    </row>
    <row r="30" customFormat="false" ht="27.75" hidden="false" customHeight="true" outlineLevel="0" collapsed="false">
      <c r="A30" s="17" t="s">
        <v>249</v>
      </c>
      <c r="B30" s="19" t="s">
        <v>250</v>
      </c>
      <c r="C30" s="18" t="n">
        <v>117000000000</v>
      </c>
      <c r="D30" s="18" t="n">
        <v>5100000000</v>
      </c>
      <c r="E30" s="18" t="n">
        <v>128000</v>
      </c>
      <c r="F30" s="19" t="s">
        <v>177</v>
      </c>
      <c r="G30" s="25" t="s">
        <v>161</v>
      </c>
      <c r="H30" s="19" t="s">
        <v>251</v>
      </c>
      <c r="I30" s="19" t="s">
        <v>252</v>
      </c>
    </row>
    <row r="31" customFormat="false" ht="27.75" hidden="false" customHeight="true" outlineLevel="0" collapsed="false">
      <c r="A31" s="17" t="s">
        <v>132</v>
      </c>
      <c r="B31" s="19" t="s">
        <v>250</v>
      </c>
      <c r="C31" s="18" t="n">
        <v>21000000000</v>
      </c>
      <c r="D31" s="18" t="n">
        <v>3600000000</v>
      </c>
      <c r="E31" s="18" t="n">
        <v>128000</v>
      </c>
      <c r="F31" s="19" t="s">
        <v>177</v>
      </c>
      <c r="G31" s="25" t="s">
        <v>161</v>
      </c>
      <c r="H31" s="19" t="s">
        <v>253</v>
      </c>
      <c r="I31" s="19" t="s">
        <v>254</v>
      </c>
    </row>
    <row r="32" customFormat="false" ht="27.75" hidden="false" customHeight="true" outlineLevel="0" collapsed="false">
      <c r="A32" s="17" t="s">
        <v>255</v>
      </c>
      <c r="B32" s="19" t="s">
        <v>256</v>
      </c>
      <c r="C32" s="18" t="n">
        <v>49000000000</v>
      </c>
      <c r="D32" s="18" t="n">
        <v>49000000000</v>
      </c>
      <c r="E32" s="18" t="n">
        <v>128000</v>
      </c>
      <c r="F32" s="19" t="s">
        <v>257</v>
      </c>
      <c r="G32" s="25" t="s">
        <v>161</v>
      </c>
      <c r="H32" s="19" t="s">
        <v>258</v>
      </c>
      <c r="I32" s="19" t="s">
        <v>259</v>
      </c>
    </row>
    <row r="34" customFormat="false" ht="15" hidden="false" customHeight="false" outlineLevel="0" collapsed="false">
      <c r="A34" s="3" t="s">
        <v>260</v>
      </c>
    </row>
    <row r="35" customFormat="false" ht="15" hidden="false" customHeight="false" outlineLevel="0" collapsed="false">
      <c r="A35" s="0" t="s">
        <v>261</v>
      </c>
      <c r="B35" s="27" t="n">
        <f aca="false">COUNTA(A5:A32)</f>
        <v>28</v>
      </c>
    </row>
    <row r="36" customFormat="false" ht="15" hidden="false" customHeight="false" outlineLevel="0" collapsed="false">
      <c r="A36" s="0" t="s">
        <v>262</v>
      </c>
      <c r="B36" s="27" t="n">
        <f aca="false">COUNTIF(G5:G32,"Open Source")</f>
        <v>4</v>
      </c>
    </row>
    <row r="37" customFormat="false" ht="15" hidden="false" customHeight="false" outlineLevel="0" collapsed="false">
      <c r="A37" s="0" t="s">
        <v>263</v>
      </c>
      <c r="B37" s="28" t="n">
        <f aca="false">MAX(E5:E32)</f>
        <v>10000000</v>
      </c>
    </row>
  </sheetData>
  <mergeCells count="2">
    <mergeCell ref="A1:I1"/>
    <mergeCell ref="A2:I2"/>
  </mergeCells>
  <conditionalFormatting sqref="E5:E32">
    <cfRule type="colorScale" priority="2">
      <colorScale>
        <cfvo type="num" val="4096"/>
        <cfvo type="num" val="1000000"/>
        <color rgb="FFFEF3C7"/>
        <color rgb="FFD1FAE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1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8"/>
    <col collapsed="false" customWidth="true" hidden="false" outlineLevel="0" max="7" min="7" style="0" width="50"/>
  </cols>
  <sheetData>
    <row r="1" customFormat="false" ht="25.5" hidden="false" customHeight="true" outlineLevel="0" collapsed="false">
      <c r="A1" s="1" t="s">
        <v>264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4" t="s">
        <v>265</v>
      </c>
      <c r="B2" s="24"/>
      <c r="C2" s="24"/>
      <c r="D2" s="24"/>
      <c r="E2" s="24"/>
      <c r="F2" s="24"/>
      <c r="G2" s="24"/>
    </row>
    <row r="4" customFormat="false" ht="27.75" hidden="false" customHeight="true" outlineLevel="0" collapsed="false">
      <c r="A4" s="10" t="s">
        <v>30</v>
      </c>
      <c r="B4" s="10" t="s">
        <v>266</v>
      </c>
      <c r="C4" s="10" t="s">
        <v>267</v>
      </c>
      <c r="D4" s="10" t="s">
        <v>268</v>
      </c>
      <c r="E4" s="10" t="s">
        <v>269</v>
      </c>
      <c r="F4" s="10" t="s">
        <v>42</v>
      </c>
      <c r="G4" s="10" t="s">
        <v>270</v>
      </c>
    </row>
    <row r="5" customFormat="false" ht="37.5" hidden="false" customHeight="true" outlineLevel="0" collapsed="false">
      <c r="A5" s="17" t="s">
        <v>67</v>
      </c>
      <c r="B5" s="13" t="n">
        <v>4</v>
      </c>
      <c r="C5" s="13"/>
      <c r="D5" s="13"/>
      <c r="E5" s="19" t="s">
        <v>103</v>
      </c>
      <c r="F5" s="29" t="str">
        <f aca="false">Provider_Details!L16</f>
        <v>1 request / 15s anonymous, 1/5s seed, 1/3s flower. No signup required.</v>
      </c>
      <c r="G5" s="19" t="s">
        <v>271</v>
      </c>
    </row>
    <row r="6" customFormat="false" ht="37.5" hidden="false" customHeight="true" outlineLevel="0" collapsed="false">
      <c r="A6" s="17" t="s">
        <v>69</v>
      </c>
      <c r="B6" s="13" t="n">
        <v>10</v>
      </c>
      <c r="C6" s="13" t="n">
        <v>60</v>
      </c>
      <c r="D6" s="13" t="n">
        <v>500000</v>
      </c>
      <c r="E6" s="19" t="s">
        <v>272</v>
      </c>
      <c r="F6" s="29" t="str">
        <f aca="false">Provider_Details!L17</f>
        <v>Anonymous 10/min, free token 40/min + 1M tokens/24h.</v>
      </c>
      <c r="G6" s="19" t="s">
        <v>273</v>
      </c>
    </row>
    <row r="7" customFormat="false" ht="37.5" hidden="false" customHeight="true" outlineLevel="0" collapsed="false">
      <c r="A7" s="17" t="s">
        <v>71</v>
      </c>
      <c r="B7" s="13" t="n">
        <v>2</v>
      </c>
      <c r="C7" s="13"/>
      <c r="D7" s="13"/>
      <c r="E7" s="19" t="s">
        <v>103</v>
      </c>
      <c r="F7" s="29" t="str">
        <f aca="false">Provider_Details!L18</f>
        <v>2 req/min anonymous per IP per model. 400 req/min authenticated.</v>
      </c>
      <c r="G7" s="19" t="s">
        <v>274</v>
      </c>
    </row>
    <row r="8" customFormat="false" ht="37.5" hidden="false" customHeight="true" outlineLevel="0" collapsed="false">
      <c r="A8" s="17" t="s">
        <v>73</v>
      </c>
      <c r="B8" s="13" t="n">
        <v>4</v>
      </c>
      <c r="C8" s="13" t="n">
        <v>200</v>
      </c>
      <c r="D8" s="13"/>
      <c r="E8" s="19" t="s">
        <v>103</v>
      </c>
      <c r="F8" s="29" t="str">
        <f aca="false">Provider_Details!L19</f>
        <v>200 req/hr per IP anonymous. :free routes quality varies.</v>
      </c>
      <c r="G8" s="19" t="s">
        <v>275</v>
      </c>
    </row>
    <row r="9" customFormat="false" ht="37.5" hidden="false" customHeight="true" outlineLevel="0" collapsed="false">
      <c r="A9" s="17" t="s">
        <v>75</v>
      </c>
      <c r="B9" s="13" t="n">
        <v>5</v>
      </c>
      <c r="C9" s="13" t="n">
        <v>200</v>
      </c>
      <c r="D9" s="13"/>
      <c r="E9" s="19" t="s">
        <v>103</v>
      </c>
      <c r="F9" s="29" t="str">
        <f aca="false">Provider_Details!L20</f>
        <v>Promo anonymous access to DeepSeek V4 Flash + Nemotron.</v>
      </c>
      <c r="G9" s="19" t="s">
        <v>276</v>
      </c>
    </row>
    <row r="10" customFormat="false" ht="37.5" hidden="false" customHeight="true" outlineLevel="0" collapsed="false">
      <c r="A10" s="17" t="s">
        <v>65</v>
      </c>
      <c r="B10" s="13"/>
      <c r="C10" s="13"/>
      <c r="D10" s="13"/>
      <c r="E10" s="19" t="s">
        <v>277</v>
      </c>
      <c r="F10" s="29" t="str">
        <f aca="false">Provider_Details!L15</f>
        <v>Session limits reset every 5h, weekly every 7d. 1 concurrent.</v>
      </c>
      <c r="G10" s="19" t="s">
        <v>278</v>
      </c>
    </row>
    <row r="11" customFormat="false" ht="37.5" hidden="false" customHeight="true" outlineLevel="0" collapsed="false">
      <c r="A11" s="17" t="s">
        <v>77</v>
      </c>
      <c r="B11" s="13" t="n">
        <v>1</v>
      </c>
      <c r="C11" s="13"/>
      <c r="D11" s="13"/>
      <c r="E11" s="19" t="s">
        <v>279</v>
      </c>
      <c r="F11" s="29" t="str">
        <f aca="false">Provider_Details!L21</f>
        <v>Crowd-sourced volunteer GPUs. Anonymous key `0000000000`, lowest priority.</v>
      </c>
      <c r="G11" s="19" t="s">
        <v>280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2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1" t="s">
        <v>281</v>
      </c>
      <c r="B1" s="1"/>
      <c r="C1" s="1"/>
    </row>
    <row r="3" customFormat="false" ht="25.5" hidden="false" customHeight="true" outlineLevel="0" collapsed="false">
      <c r="A3" s="10" t="s">
        <v>282</v>
      </c>
      <c r="B3" s="10" t="s">
        <v>283</v>
      </c>
      <c r="C3" s="10" t="s">
        <v>284</v>
      </c>
    </row>
    <row r="4" customFormat="false" ht="25.5" hidden="false" customHeight="true" outlineLevel="0" collapsed="false">
      <c r="A4" s="30" t="s">
        <v>285</v>
      </c>
      <c r="B4" s="31" t="s">
        <v>286</v>
      </c>
      <c r="C4" s="32" t="s">
        <v>287</v>
      </c>
    </row>
    <row r="5" customFormat="false" ht="25.5" hidden="false" customHeight="true" outlineLevel="0" collapsed="false">
      <c r="A5" s="30" t="s">
        <v>288</v>
      </c>
      <c r="B5" s="31" t="s">
        <v>289</v>
      </c>
      <c r="C5" s="32" t="s">
        <v>290</v>
      </c>
    </row>
    <row r="6" customFormat="false" ht="25.5" hidden="false" customHeight="true" outlineLevel="0" collapsed="false">
      <c r="A6" s="30" t="s">
        <v>291</v>
      </c>
      <c r="B6" s="31" t="s">
        <v>292</v>
      </c>
      <c r="C6" s="32" t="s">
        <v>293</v>
      </c>
    </row>
    <row r="7" customFormat="false" ht="25.5" hidden="false" customHeight="true" outlineLevel="0" collapsed="false">
      <c r="A7" s="30" t="s">
        <v>294</v>
      </c>
      <c r="B7" s="31" t="s">
        <v>286</v>
      </c>
      <c r="C7" s="32" t="s">
        <v>295</v>
      </c>
    </row>
    <row r="8" customFormat="false" ht="25.5" hidden="false" customHeight="true" outlineLevel="0" collapsed="false">
      <c r="A8" s="30" t="s">
        <v>296</v>
      </c>
      <c r="B8" s="31" t="s">
        <v>297</v>
      </c>
      <c r="C8" s="32" t="s">
        <v>298</v>
      </c>
    </row>
    <row r="9" customFormat="false" ht="25.5" hidden="false" customHeight="true" outlineLevel="0" collapsed="false">
      <c r="A9" s="30" t="s">
        <v>299</v>
      </c>
      <c r="B9" s="31" t="s">
        <v>300</v>
      </c>
      <c r="C9" s="32" t="s">
        <v>301</v>
      </c>
    </row>
    <row r="10" customFormat="false" ht="25.5" hidden="false" customHeight="true" outlineLevel="0" collapsed="false">
      <c r="A10" s="30" t="s">
        <v>302</v>
      </c>
      <c r="B10" s="31" t="s">
        <v>303</v>
      </c>
      <c r="C10" s="32" t="s">
        <v>304</v>
      </c>
    </row>
    <row r="11" customFormat="false" ht="25.5" hidden="false" customHeight="true" outlineLevel="0" collapsed="false">
      <c r="A11" s="30" t="s">
        <v>305</v>
      </c>
      <c r="B11" s="31" t="s">
        <v>306</v>
      </c>
      <c r="C11" s="32" t="s">
        <v>307</v>
      </c>
    </row>
    <row r="12" customFormat="false" ht="25.5" hidden="false" customHeight="true" outlineLevel="0" collapsed="false">
      <c r="A12" s="30" t="s">
        <v>308</v>
      </c>
      <c r="B12" s="31" t="s">
        <v>309</v>
      </c>
      <c r="C12" s="32" t="s">
        <v>310</v>
      </c>
    </row>
    <row r="13" customFormat="false" ht="25.5" hidden="false" customHeight="true" outlineLevel="0" collapsed="false">
      <c r="A13" s="30" t="s">
        <v>311</v>
      </c>
      <c r="B13" s="31" t="s">
        <v>312</v>
      </c>
      <c r="C13" s="32" t="s">
        <v>313</v>
      </c>
    </row>
    <row r="14" customFormat="false" ht="25.5" hidden="false" customHeight="true" outlineLevel="0" collapsed="false">
      <c r="A14" s="30" t="s">
        <v>314</v>
      </c>
      <c r="B14" s="31" t="s">
        <v>67</v>
      </c>
      <c r="C14" s="32" t="s">
        <v>315</v>
      </c>
    </row>
    <row r="15" customFormat="false" ht="25.5" hidden="false" customHeight="true" outlineLevel="0" collapsed="false">
      <c r="A15" s="30" t="s">
        <v>316</v>
      </c>
      <c r="B15" s="31" t="s">
        <v>69</v>
      </c>
      <c r="C15" s="32" t="s">
        <v>317</v>
      </c>
    </row>
    <row r="16" customFormat="false" ht="25.5" hidden="false" customHeight="true" outlineLevel="0" collapsed="false">
      <c r="A16" s="30" t="s">
        <v>318</v>
      </c>
      <c r="B16" s="31" t="s">
        <v>319</v>
      </c>
      <c r="C16" s="32" t="s">
        <v>320</v>
      </c>
    </row>
    <row r="17" customFormat="false" ht="25.5" hidden="false" customHeight="true" outlineLevel="0" collapsed="false">
      <c r="A17" s="30" t="s">
        <v>321</v>
      </c>
      <c r="B17" s="31" t="s">
        <v>322</v>
      </c>
      <c r="C17" s="32" t="s">
        <v>323</v>
      </c>
    </row>
    <row r="18" customFormat="false" ht="25.5" hidden="false" customHeight="true" outlineLevel="0" collapsed="false">
      <c r="A18" s="30" t="s">
        <v>324</v>
      </c>
      <c r="B18" s="31" t="s">
        <v>325</v>
      </c>
      <c r="C18" s="32" t="s">
        <v>326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2026-07-15T16:57:05Z</dcterms:created>
  <dc:creator>openpyxl</dc:creator>
  <dc:description/>
  <dc:language>en-US</dc:language>
  <cp:lastModifiedBy/>
  <dcterms:modified xsi:type="dcterms:W3CDTF">2026-07-15T16:57:05Z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{"Label":"1","ContentProducer":"MiniMax AI","ProduceID":"user:532255404353683456/node:420173424709718/ts:1784134645884","ReservedCode1":"","ContentPropagator":"MiniMax AI","PropagateID":"user:532255404353683456/node:420173424709718/ts:1784134645884","ReservedCode2":""}</vt:lpwstr>
  </property>
</Properties>
</file>